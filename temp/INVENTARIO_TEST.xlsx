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a.poblete\Desktop\"/>
    </mc:Choice>
  </mc:AlternateContent>
  <xr:revisionPtr revIDLastSave="0" documentId="13_ncr:1_{A2D7EF5A-EB34-47A0-A1BA-B308F52AB06D}" xr6:coauthVersionLast="47" xr6:coauthVersionMax="47" xr10:uidLastSave="{00000000-0000-0000-0000-000000000000}"/>
  <bookViews>
    <workbookView xWindow="-110" yWindow="-110" windowWidth="19420" windowHeight="10300" xr2:uid="{8B6D836A-AB3E-486E-A9A5-96414D09ED30}"/>
  </bookViews>
  <sheets>
    <sheet name="INVENTARIO " sheetId="1" r:id="rId1"/>
    <sheet name="ENTRADAS" sheetId="3" r:id="rId2"/>
    <sheet name="SALIDAS" sheetId="4" r:id="rId3"/>
  </sheets>
  <definedNames>
    <definedName name="_xlnm.Print_Area" localSheetId="0">Tabla4[[PRODUCTO]:[MARCA]]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4" l="1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G43" i="1"/>
  <c r="H43" i="1"/>
  <c r="G42" i="1"/>
  <c r="H42" i="1"/>
  <c r="G40" i="1"/>
  <c r="H40" i="1"/>
  <c r="G41" i="1"/>
  <c r="H41" i="1"/>
  <c r="G39" i="1"/>
  <c r="H39" i="1"/>
  <c r="G103" i="1"/>
  <c r="H103" i="1"/>
  <c r="G101" i="1"/>
  <c r="H101" i="1"/>
  <c r="G116" i="1"/>
  <c r="H116" i="1"/>
  <c r="G110" i="1"/>
  <c r="H110" i="1"/>
  <c r="G84" i="1"/>
  <c r="H84" i="1"/>
  <c r="G63" i="1"/>
  <c r="H63" i="1"/>
  <c r="G46" i="1"/>
  <c r="H46" i="1"/>
  <c r="G47" i="1"/>
  <c r="H47" i="1"/>
  <c r="G48" i="1"/>
  <c r="H48" i="1"/>
  <c r="G105" i="1"/>
  <c r="H105" i="1"/>
  <c r="G108" i="1"/>
  <c r="H108" i="1"/>
  <c r="G107" i="1"/>
  <c r="H107" i="1"/>
  <c r="G106" i="1"/>
  <c r="H106" i="1"/>
  <c r="G104" i="1"/>
  <c r="H104" i="1"/>
  <c r="G94" i="1"/>
  <c r="H94" i="1"/>
  <c r="G93" i="1"/>
  <c r="H93" i="1"/>
  <c r="G92" i="1"/>
  <c r="H92" i="1"/>
  <c r="G91" i="1"/>
  <c r="H91" i="1"/>
  <c r="G95" i="1"/>
  <c r="H95" i="1"/>
  <c r="G98" i="1"/>
  <c r="H98" i="1"/>
  <c r="G97" i="1"/>
  <c r="H97" i="1"/>
  <c r="G96" i="1"/>
  <c r="H96" i="1"/>
  <c r="G45" i="1"/>
  <c r="H45" i="1"/>
  <c r="G44" i="1"/>
  <c r="H44" i="1"/>
  <c r="G87" i="1"/>
  <c r="H87" i="1"/>
  <c r="G89" i="1"/>
  <c r="H89" i="1"/>
  <c r="G90" i="1"/>
  <c r="H90" i="1"/>
  <c r="G88" i="1"/>
  <c r="H88" i="1"/>
  <c r="G53" i="1"/>
  <c r="H53" i="1"/>
  <c r="G77" i="1"/>
  <c r="H77" i="1"/>
  <c r="G76" i="1"/>
  <c r="H76" i="1"/>
  <c r="G75" i="1"/>
  <c r="H75" i="1"/>
  <c r="G115" i="1"/>
  <c r="H115" i="1"/>
  <c r="G11" i="1"/>
  <c r="H11" i="1"/>
  <c r="G117" i="1"/>
  <c r="H117" i="1"/>
  <c r="G7" i="1"/>
  <c r="H7" i="1"/>
  <c r="G50" i="1"/>
  <c r="H50" i="1"/>
  <c r="G9" i="1"/>
  <c r="H9" i="1"/>
  <c r="G10" i="1"/>
  <c r="H10" i="1"/>
  <c r="G37" i="1"/>
  <c r="H37" i="1"/>
  <c r="G28" i="1"/>
  <c r="H28" i="1"/>
  <c r="G29" i="1"/>
  <c r="H29" i="1"/>
  <c r="G52" i="1"/>
  <c r="H52" i="1"/>
  <c r="G51" i="1"/>
  <c r="H51" i="1"/>
  <c r="G112" i="1"/>
  <c r="H112" i="1"/>
  <c r="G102" i="1"/>
  <c r="H102" i="1"/>
  <c r="G82" i="1"/>
  <c r="H82" i="1"/>
  <c r="G80" i="1"/>
  <c r="H80" i="1"/>
  <c r="G79" i="1"/>
  <c r="H79" i="1"/>
  <c r="G78" i="1"/>
  <c r="H78" i="1"/>
  <c r="G114" i="1"/>
  <c r="H114" i="1"/>
  <c r="G71" i="1"/>
  <c r="H71" i="1"/>
  <c r="G70" i="1"/>
  <c r="H70" i="1"/>
  <c r="G64" i="1"/>
  <c r="H64" i="1"/>
  <c r="G100" i="1"/>
  <c r="H100" i="1"/>
  <c r="G113" i="1"/>
  <c r="H113" i="1"/>
  <c r="G65" i="1"/>
  <c r="H65" i="1"/>
  <c r="G67" i="1"/>
  <c r="H67" i="1"/>
  <c r="G66" i="1"/>
  <c r="H66" i="1"/>
  <c r="G12" i="1"/>
  <c r="H12" i="1"/>
  <c r="G60" i="1"/>
  <c r="H60" i="1"/>
  <c r="G99" i="1"/>
  <c r="H99" i="1"/>
  <c r="G111" i="1"/>
  <c r="H111" i="1"/>
  <c r="G56" i="1"/>
  <c r="H56" i="1"/>
  <c r="G57" i="1"/>
  <c r="H57" i="1"/>
  <c r="G58" i="1"/>
  <c r="H58" i="1"/>
  <c r="G59" i="1"/>
  <c r="H59" i="1"/>
  <c r="G85" i="1"/>
  <c r="H85" i="1"/>
  <c r="G17" i="1"/>
  <c r="H17" i="1"/>
  <c r="G14" i="1"/>
  <c r="H14" i="1"/>
  <c r="G13" i="1"/>
  <c r="H13" i="1"/>
  <c r="G15" i="1"/>
  <c r="H15" i="1"/>
  <c r="G16" i="1"/>
  <c r="H16" i="1"/>
  <c r="G18" i="1"/>
  <c r="H18" i="1"/>
  <c r="G31" i="1"/>
  <c r="H31" i="1"/>
  <c r="G54" i="1"/>
  <c r="H54" i="1"/>
  <c r="G35" i="1"/>
  <c r="H35" i="1"/>
  <c r="G34" i="1"/>
  <c r="H34" i="1"/>
  <c r="G33" i="1"/>
  <c r="H33" i="1"/>
  <c r="G32" i="1"/>
  <c r="H32" i="1"/>
  <c r="H19" i="1"/>
  <c r="H20" i="1"/>
  <c r="H21" i="1"/>
  <c r="H22" i="1"/>
  <c r="H23" i="1"/>
  <c r="H24" i="1"/>
  <c r="H25" i="1"/>
  <c r="H26" i="1"/>
  <c r="H27" i="1"/>
  <c r="H30" i="1"/>
  <c r="H36" i="1"/>
  <c r="H38" i="1"/>
  <c r="H49" i="1"/>
  <c r="H55" i="1"/>
  <c r="H61" i="1"/>
  <c r="H62" i="1"/>
  <c r="H68" i="1"/>
  <c r="H69" i="1"/>
  <c r="H72" i="1"/>
  <c r="H73" i="1"/>
  <c r="H74" i="1"/>
  <c r="H81" i="1"/>
  <c r="H83" i="1"/>
  <c r="H86" i="1"/>
  <c r="H109" i="1"/>
  <c r="H3" i="1"/>
  <c r="H4" i="1"/>
  <c r="H5" i="1"/>
  <c r="H6" i="1"/>
  <c r="H8" i="1"/>
  <c r="G19" i="1"/>
  <c r="G20" i="1"/>
  <c r="G21" i="1"/>
  <c r="G22" i="1"/>
  <c r="G23" i="1"/>
  <c r="G24" i="1"/>
  <c r="G25" i="1"/>
  <c r="G26" i="1"/>
  <c r="G27" i="1"/>
  <c r="G30" i="1"/>
  <c r="G36" i="1"/>
  <c r="G38" i="1"/>
  <c r="G49" i="1"/>
  <c r="G55" i="1"/>
  <c r="G61" i="1"/>
  <c r="G62" i="1"/>
  <c r="G68" i="1"/>
  <c r="G69" i="1"/>
  <c r="G72" i="1"/>
  <c r="G73" i="1"/>
  <c r="G74" i="1"/>
  <c r="G81" i="1"/>
  <c r="G83" i="1"/>
  <c r="G86" i="1"/>
  <c r="G109" i="1"/>
  <c r="G3" i="1"/>
  <c r="G4" i="1"/>
  <c r="G5" i="1"/>
  <c r="G6" i="1"/>
  <c r="G8" i="1"/>
  <c r="D3" i="4"/>
  <c r="D3" i="3"/>
  <c r="I43" i="1" l="1"/>
  <c r="I41" i="1"/>
  <c r="I42" i="1"/>
  <c r="I40" i="1"/>
  <c r="I101" i="1"/>
  <c r="I39" i="1"/>
  <c r="I110" i="1"/>
  <c r="I116" i="1"/>
  <c r="I103" i="1"/>
  <c r="I84" i="1"/>
  <c r="I104" i="1"/>
  <c r="I105" i="1"/>
  <c r="I63" i="1"/>
  <c r="I46" i="1"/>
  <c r="I48" i="1"/>
  <c r="I108" i="1"/>
  <c r="I47" i="1"/>
  <c r="I93" i="1"/>
  <c r="I107" i="1"/>
  <c r="I106" i="1"/>
  <c r="I94" i="1"/>
  <c r="I91" i="1"/>
  <c r="I92" i="1"/>
  <c r="I97" i="1"/>
  <c r="I96" i="1"/>
  <c r="I95" i="1"/>
  <c r="I98" i="1"/>
  <c r="I44" i="1"/>
  <c r="I45" i="1"/>
  <c r="I89" i="1"/>
  <c r="I90" i="1"/>
  <c r="I87" i="1"/>
  <c r="I88" i="1"/>
  <c r="I76" i="1"/>
  <c r="I115" i="1"/>
  <c r="I53" i="1"/>
  <c r="I77" i="1"/>
  <c r="I75" i="1"/>
  <c r="I11" i="1"/>
  <c r="I117" i="1"/>
  <c r="I28" i="1"/>
  <c r="I50" i="1"/>
  <c r="I7" i="1"/>
  <c r="I9" i="1"/>
  <c r="I10" i="1"/>
  <c r="I37" i="1"/>
  <c r="I29" i="1"/>
  <c r="I112" i="1"/>
  <c r="I52" i="1"/>
  <c r="I102" i="1"/>
  <c r="I51" i="1"/>
  <c r="I79" i="1"/>
  <c r="I82" i="1"/>
  <c r="I80" i="1"/>
  <c r="I78" i="1"/>
  <c r="I114" i="1"/>
  <c r="I71" i="1"/>
  <c r="I70" i="1"/>
  <c r="I100" i="1"/>
  <c r="I64" i="1"/>
  <c r="I113" i="1"/>
  <c r="I65" i="1"/>
  <c r="I67" i="1"/>
  <c r="I66" i="1"/>
  <c r="I12" i="1"/>
  <c r="I99" i="1"/>
  <c r="I60" i="1"/>
  <c r="I56" i="1"/>
  <c r="I111" i="1"/>
  <c r="I57" i="1"/>
  <c r="I17" i="1"/>
  <c r="I15" i="1"/>
  <c r="I58" i="1"/>
  <c r="I59" i="1"/>
  <c r="I14" i="1"/>
  <c r="I85" i="1"/>
  <c r="I13" i="1"/>
  <c r="I16" i="1"/>
  <c r="I18" i="1"/>
  <c r="I34" i="1"/>
  <c r="I31" i="1"/>
  <c r="I54" i="1"/>
  <c r="I35" i="1"/>
  <c r="I33" i="1"/>
  <c r="I32" i="1"/>
  <c r="I6" i="1"/>
  <c r="I81" i="1"/>
  <c r="I55" i="1"/>
  <c r="I26" i="1"/>
  <c r="I5" i="1"/>
  <c r="I74" i="1"/>
  <c r="I49" i="1"/>
  <c r="I25" i="1"/>
  <c r="I4" i="1"/>
  <c r="I73" i="1"/>
  <c r="I24" i="1"/>
  <c r="I3" i="1"/>
  <c r="I72" i="1"/>
  <c r="I38" i="1"/>
  <c r="I23" i="1"/>
  <c r="I109" i="1"/>
  <c r="I69" i="1"/>
  <c r="I36" i="1"/>
  <c r="I22" i="1"/>
  <c r="I68" i="1"/>
  <c r="I21" i="1"/>
  <c r="I86" i="1"/>
  <c r="I62" i="1"/>
  <c r="I30" i="1"/>
  <c r="I20" i="1"/>
  <c r="I8" i="1"/>
  <c r="I83" i="1"/>
  <c r="I61" i="1"/>
  <c r="I27" i="1"/>
  <c r="I19" i="1"/>
</calcChain>
</file>

<file path=xl/sharedStrings.xml><?xml version="1.0" encoding="utf-8"?>
<sst xmlns="http://schemas.openxmlformats.org/spreadsheetml/2006/main" count="363" uniqueCount="155">
  <si>
    <t xml:space="preserve">CODIGO </t>
  </si>
  <si>
    <t>PRODUCTO</t>
  </si>
  <si>
    <t>STOCK INICIAL</t>
  </si>
  <si>
    <t>ENTRADAS</t>
  </si>
  <si>
    <t>SALIDAS</t>
  </si>
  <si>
    <t xml:space="preserve">STOCK FINAL </t>
  </si>
  <si>
    <t xml:space="preserve">INVENTARIO BODEGA LUBRICACIÓN </t>
  </si>
  <si>
    <t>Guantes nitrilo L</t>
  </si>
  <si>
    <t>Guantes nitrilo M</t>
  </si>
  <si>
    <t xml:space="preserve">Cascos administrativos </t>
  </si>
  <si>
    <t>Cubrenuca</t>
  </si>
  <si>
    <t xml:space="preserve">Barbiquejos </t>
  </si>
  <si>
    <t xml:space="preserve">Arnes 6 argollas </t>
  </si>
  <si>
    <t xml:space="preserve">Cabo de vida </t>
  </si>
  <si>
    <t xml:space="preserve">Arnes 4 argollas </t>
  </si>
  <si>
    <t>Guante cabritilla L</t>
  </si>
  <si>
    <t xml:space="preserve">Legeonario </t>
  </si>
  <si>
    <t>Amortiguador de caida</t>
  </si>
  <si>
    <t xml:space="preserve">Antiparra ductile claro </t>
  </si>
  <si>
    <t xml:space="preserve">Buzo de papel L </t>
  </si>
  <si>
    <t xml:space="preserve">Buzo de papel XL </t>
  </si>
  <si>
    <t xml:space="preserve">Buzo de papel XXL </t>
  </si>
  <si>
    <t>Buzo de papel XXXL</t>
  </si>
  <si>
    <t xml:space="preserve">FECHA </t>
  </si>
  <si>
    <t xml:space="preserve">PRODUCTO </t>
  </si>
  <si>
    <t xml:space="preserve">ENTRADA </t>
  </si>
  <si>
    <t xml:space="preserve">SALIDA </t>
  </si>
  <si>
    <t xml:space="preserve">SALIDAS </t>
  </si>
  <si>
    <t>UNIDAD DE MEDIDA</t>
  </si>
  <si>
    <t xml:space="preserve">UNI </t>
  </si>
  <si>
    <t>CAJAS</t>
  </si>
  <si>
    <t>PARES</t>
  </si>
  <si>
    <t>MARCA</t>
  </si>
  <si>
    <t>3M</t>
  </si>
  <si>
    <t>Cartucho contraamoníaco 07/2026</t>
  </si>
  <si>
    <t>Cartucho contraamoníaco 09/2026</t>
  </si>
  <si>
    <t>Cartucho contraamoníaco 03/2028</t>
  </si>
  <si>
    <t>Cartucho contraamoníaco 01/2030</t>
  </si>
  <si>
    <t>ACTIVEX</t>
  </si>
  <si>
    <t>Filtros amoníaco y metilamina 06/2029</t>
  </si>
  <si>
    <t>Protector auditivo X1P5</t>
  </si>
  <si>
    <t>BLUE SAIL+</t>
  </si>
  <si>
    <t xml:space="preserve">Caja candado 50 llaveros </t>
  </si>
  <si>
    <t>DIMERC</t>
  </si>
  <si>
    <t>IRONX</t>
  </si>
  <si>
    <t>V-FLEX</t>
  </si>
  <si>
    <t>Botin V73 n° 39</t>
  </si>
  <si>
    <t>Botin V73 n° 42</t>
  </si>
  <si>
    <t>Botin V73 n° 43</t>
  </si>
  <si>
    <t>Botin V73 n°36</t>
  </si>
  <si>
    <t>Botin V73 n° 44</t>
  </si>
  <si>
    <t>Botin V73 n° 41</t>
  </si>
  <si>
    <t>Botin PF108R_1 n°40</t>
  </si>
  <si>
    <t>PROFLEX</t>
  </si>
  <si>
    <t>Botin IRX-06-IRON-X n°41</t>
  </si>
  <si>
    <t>Botin IRX-06-IRON-X n°43</t>
  </si>
  <si>
    <t>Botin IRX-06-IRON-X n°44</t>
  </si>
  <si>
    <t>Botin Sherpa's 406 café n°40</t>
  </si>
  <si>
    <t>SHERPA'S</t>
  </si>
  <si>
    <t xml:space="preserve">Máscara full face de silicona </t>
  </si>
  <si>
    <t>Filtros 7093C 03/2027</t>
  </si>
  <si>
    <t>Filtros 7093C 10/2027</t>
  </si>
  <si>
    <t>Filtros 7093C 05/2028</t>
  </si>
  <si>
    <t>Filtros 7093C 06/2028</t>
  </si>
  <si>
    <t>Filtros 7093C 12/2028</t>
  </si>
  <si>
    <t>Respirador TPR L 07/2029</t>
  </si>
  <si>
    <t>Respirador TPR L 06/2030</t>
  </si>
  <si>
    <t>Pieza facial de media cara M</t>
  </si>
  <si>
    <t>Filtros 7093C 05/2029</t>
  </si>
  <si>
    <t>Bota tornado n°43</t>
  </si>
  <si>
    <t>BATA</t>
  </si>
  <si>
    <t>TOWA</t>
  </si>
  <si>
    <t xml:space="preserve">Guantes hyflex N-876 L </t>
  </si>
  <si>
    <t>Guantes hyflex N-876 M</t>
  </si>
  <si>
    <t>Guante hyflex EN388 L</t>
  </si>
  <si>
    <t>Guante hyflex EN388 M</t>
  </si>
  <si>
    <t>ANSELL</t>
  </si>
  <si>
    <t>Muñequeras porta herramientas</t>
  </si>
  <si>
    <t>SEGMA WORK ON TOP</t>
  </si>
  <si>
    <t xml:space="preserve">Sobre guantes dielectrico </t>
  </si>
  <si>
    <t xml:space="preserve">Polainas de cuero </t>
  </si>
  <si>
    <t>Guantes hidrocarburo L</t>
  </si>
  <si>
    <t>NINJA</t>
  </si>
  <si>
    <t>GREEN WAY</t>
  </si>
  <si>
    <t>Guante nitrilo flocado verde L</t>
  </si>
  <si>
    <t>Guante nitrilo flocado verde M</t>
  </si>
  <si>
    <t>GREEN TECH</t>
  </si>
  <si>
    <t>TAJ</t>
  </si>
  <si>
    <t>Guante hyflex 11-600 L</t>
  </si>
  <si>
    <t>Lentes de seguridad in/out 02-01-165</t>
  </si>
  <si>
    <t xml:space="preserve">Lentes de seguridad transparentes </t>
  </si>
  <si>
    <t>STEELPRO</t>
  </si>
  <si>
    <t>Sobre lentes de seguridad ix-05</t>
  </si>
  <si>
    <t>Lentes de seguridad clear 02-01-163</t>
  </si>
  <si>
    <t>Lentes de seguridad clear 02-05-048 (cubrelentes)</t>
  </si>
  <si>
    <t>Lentes de seguridad grey 02-01-164</t>
  </si>
  <si>
    <t>Lentes de seguridad ix-09 (oscuros)</t>
  </si>
  <si>
    <t>MSA</t>
  </si>
  <si>
    <t>Protector auditivo X1A</t>
  </si>
  <si>
    <t xml:space="preserve">Rodillera </t>
  </si>
  <si>
    <t xml:space="preserve">Digital clamp meter </t>
  </si>
  <si>
    <t xml:space="preserve">Estrobo de vida doble angular </t>
  </si>
  <si>
    <t>CHILESIN</t>
  </si>
  <si>
    <t>Cabo de vida stones</t>
  </si>
  <si>
    <t>Cabo de vida king 1,2 mts</t>
  </si>
  <si>
    <t xml:space="preserve">Casco terreno </t>
  </si>
  <si>
    <t>Barbiquejos negros</t>
  </si>
  <si>
    <t>S/M</t>
  </si>
  <si>
    <t>Barbiquejos</t>
  </si>
  <si>
    <t>Cuello multifuncional</t>
  </si>
  <si>
    <t>ABSOLUTE ZERO</t>
  </si>
  <si>
    <t>Balaclava</t>
  </si>
  <si>
    <t>HARDWORK</t>
  </si>
  <si>
    <t>Visera para careta</t>
  </si>
  <si>
    <t xml:space="preserve">Borde de aluminio </t>
  </si>
  <si>
    <t>Soporte carrete facial</t>
  </si>
  <si>
    <t>KUMEN</t>
  </si>
  <si>
    <t xml:space="preserve">Legeonario ignifugo </t>
  </si>
  <si>
    <t>WORKING APPAREL</t>
  </si>
  <si>
    <t>Faceshield</t>
  </si>
  <si>
    <t>Overol ignifugo L con logo</t>
  </si>
  <si>
    <t>Overol ignifugo XXL con logo</t>
  </si>
  <si>
    <t>Overol ignifugo XL con logo</t>
  </si>
  <si>
    <t>Overol ignifugo naranjo M</t>
  </si>
  <si>
    <t>ABSOLUTE FIRE</t>
  </si>
  <si>
    <t xml:space="preserve">Chaleco geologo M sin logo </t>
  </si>
  <si>
    <t xml:space="preserve">Chaleco geologo L sin logo </t>
  </si>
  <si>
    <t xml:space="preserve">Pantalón cargo sin logo M </t>
  </si>
  <si>
    <t>Pantalón cargo sin logo L</t>
  </si>
  <si>
    <t>Pantalón cargo sin logo XL</t>
  </si>
  <si>
    <t>Pantalón cargo sin logo 42</t>
  </si>
  <si>
    <t>Pantalón cargo con logo 42</t>
  </si>
  <si>
    <t>Pantalón cargo con logo M</t>
  </si>
  <si>
    <t xml:space="preserve">Pantalón cargo con logo L </t>
  </si>
  <si>
    <t>Pantalón cargo con logo XL</t>
  </si>
  <si>
    <t xml:space="preserve">Polera polo sin logo M </t>
  </si>
  <si>
    <t>Polera polo sin logo L</t>
  </si>
  <si>
    <t>Polera polo sin logo XL</t>
  </si>
  <si>
    <t>Polera negra con logo M</t>
  </si>
  <si>
    <t>T-WORLD</t>
  </si>
  <si>
    <t xml:space="preserve">Corta viento con logo L </t>
  </si>
  <si>
    <t>Corta viento con logo M</t>
  </si>
  <si>
    <t>Corta viento con logo S</t>
  </si>
  <si>
    <t>Guante cuero HyS L</t>
  </si>
  <si>
    <t>TRECK</t>
  </si>
  <si>
    <t xml:space="preserve">Manta ignifuga </t>
  </si>
  <si>
    <t>Respirador TPR 12/2029</t>
  </si>
  <si>
    <t>Vapores orgánicos gases ácidos y partículas</t>
  </si>
  <si>
    <t>Protector auditivo</t>
  </si>
  <si>
    <t xml:space="preserve">Chaleco geologo azúl con logo M </t>
  </si>
  <si>
    <t xml:space="preserve">Chaleco geologo azúl con logo S </t>
  </si>
  <si>
    <t xml:space="preserve">Chaleco geologo azúl con logo L </t>
  </si>
  <si>
    <t>Chaleco geologo azúl con logo XL</t>
  </si>
  <si>
    <t>Chaleco geologo azúl con logo XXL</t>
  </si>
  <si>
    <t>Cascos terreno linterna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</si>
</sst>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1C3649-17B1-403B-8A2F-3E677C89C7CD}" name="Tabla4" displayName="Tabla4" ref="B2:I117" totalsRowShown="0">
  <autoFilter ref="B2:I117" xr:uid="{291C3649-17B1-403B-8A2F-3E677C89C7CD}"/>
  <sortState xmlns:xlrd2="http://schemas.microsoft.com/office/spreadsheetml/2017/richdata2" ref="B3:I109">
    <sortCondition ref="C3:C109"/>
  </sortState>
  <tableColumns count="8">
    <tableColumn id="1" xr3:uid="{7C9724FC-8A7C-4C53-B8B6-EAA33E31D109}" name="CODIGO "/>
    <tableColumn id="2" xr3:uid="{6ADF86B3-3E20-4499-8456-4802B7016871}" name="PRODUCTO"/>
    <tableColumn id="3" xr3:uid="{2474F60F-5930-4089-85DD-C93E04210A41}" name="STOCK INICIAL"/>
    <tableColumn id="7" xr3:uid="{F8EB72A2-AC9F-4E48-BCF1-D2C460AD9A05}" name="MARCA"/>
    <tableColumn id="8" xr3:uid="{1CC6DB90-18C0-4DCB-963C-1456FAAE97AD}" name="UNIDAD DE MEDIDA"/>
    <tableColumn id="4" xr3:uid="{FA0C81F9-DCDC-4070-BAA1-07F3EF62A4E0}" name="ENTRADAS" dataDxfId="2">
      <calculatedColumnFormula>+SUMIF(Tabla5[[#Headers],[#Data],[CODIGO ]],Tabla4[[#This Row],[CODIGO ]],Tabla5[[#Headers],[#Data],[ENTRADA ]])</calculatedColumnFormula>
    </tableColumn>
    <tableColumn id="5" xr3:uid="{B2205CD2-35C0-4633-9CD7-EDF15626A227}" name="SALIDAS" dataDxfId="1">
      <calculatedColumnFormula>SUMIF(Tabla6[[#All],[CODIGO ]],Tabla4[[#This Row],[CODIGO ]],Tabla6[[#All],[SALIDA ]])</calculatedColumnFormula>
    </tableColumn>
    <tableColumn id="6" xr3:uid="{AE96AF58-049F-4D86-9979-6BC941120D5C}" name="STOCK FINAL " dataDxfId="0">
      <calculatedColumnFormula>+Tabla4[[#This Row],[STOCK INICIAL]]+Tabla4[[#This Row],[ENTRADAS]]-Tabla4[[#This Row],[SALIDAS]]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DFA8D2-592A-4A33-82B5-EB5A98C13928}" name="Tabla5" displayName="Tabla5" ref="B2:E4" totalsRowCount="1">
  <autoFilter ref="B2:E3" xr:uid="{21DFA8D2-592A-4A33-82B5-EB5A98C13928}"/>
  <tableColumns count="4">
    <tableColumn id="1" xr3:uid="{D9FBA6F2-882C-44D3-A128-592819867BC2}" name="CODIGO "/>
    <tableColumn id="2" xr3:uid="{86903968-09BD-4BC0-B7A1-8413C9C872E8}" name="FECHA "/>
    <tableColumn id="3" xr3:uid="{76ACA4B3-552F-4E0E-B882-4E98BF7BE208}" name="PRODUCTO ">
      <calculatedColumnFormula>+VLOOKUP(Tabla5[[#This Row],[CODIGO ]],Tabla4[],2,0)</calculatedColumnFormula>
    </tableColumn>
    <tableColumn id="4" xr3:uid="{7FB9CC79-FD29-4043-9D91-5EAEE42EDFF4}" name="ENTRADA 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561AE3-4B39-4D08-A05C-CF0B6F958E7D}" name="Tabla6" displayName="Tabla6" ref="B2:E53" totalsRowShown="0">
  <autoFilter ref="B2:E53" xr:uid="{FF561AE3-4B39-4D08-A05C-CF0B6F958E7D}"/>
  <tableColumns count="4">
    <tableColumn id="1" xr3:uid="{B53A66B8-D048-4152-ABEE-248F30ACF0B0}" name="CODIGO "/>
    <tableColumn id="2" xr3:uid="{B48C4367-EDCF-499A-BD2B-B9B198553154}" name="FECHA "/>
    <tableColumn id="3" xr3:uid="{CEADB144-EB3E-4AD8-991C-DDCC5A84DC28}" name="PRODUCTO ">
      <calculatedColumnFormula>+VLOOKUP(Tabla6[[#This Row],[CODIGO ]],Tabla4[],2,0)</calculatedColumnFormula>
    </tableColumn>
    <tableColumn id="4" xr3:uid="{A9DE535D-372A-4540-BC1D-06CB841F3313}" name="SALIDA 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1E38-14EE-4AEA-9A2E-38879568DA5E}">
  <dimension ref="B1:I117"/>
  <sheetViews>
    <sheetView tabSelected="1" topLeftCell="A16" workbookViewId="0">
      <selection activeCell="C27" sqref="C27"/>
    </sheetView>
  </sheetViews>
  <sheetFormatPr baseColWidth="10" defaultRowHeight="14.5" x14ac:dyDescent="0.35"/>
  <cols>
    <col min="3" max="3" width="45.54296875" bestFit="1" customWidth="1"/>
    <col min="4" max="4" width="15.7265625" customWidth="1"/>
    <col min="5" max="5" width="20.7265625" bestFit="1" customWidth="1"/>
    <col min="6" max="6" width="21.1796875" bestFit="1" customWidth="1"/>
    <col min="7" max="7" width="12.54296875" customWidth="1"/>
    <col min="9" max="9" width="14.81640625" customWidth="1"/>
    <col min="13" max="13" width="13.54296875" customWidth="1"/>
    <col min="14" max="14" width="12" customWidth="1"/>
    <col min="18" max="18" width="13.54296875" customWidth="1"/>
  </cols>
  <sheetData>
    <row r="1" spans="2:9" x14ac:dyDescent="0.35">
      <c r="B1" s="4" t="s">
        <v>6</v>
      </c>
      <c r="C1" s="4"/>
      <c r="D1" s="4"/>
      <c r="E1" s="4"/>
      <c r="F1" s="4"/>
      <c r="G1" s="4"/>
      <c r="H1" s="4"/>
      <c r="I1" s="4"/>
    </row>
    <row r="2" spans="2:9" x14ac:dyDescent="0.35">
      <c r="B2" t="s">
        <v>0</v>
      </c>
      <c r="C2" t="s">
        <v>1</v>
      </c>
      <c r="D2" t="s">
        <v>2</v>
      </c>
      <c r="E2" t="s">
        <v>32</v>
      </c>
      <c r="F2" t="s">
        <v>28</v>
      </c>
      <c r="G2" t="s">
        <v>3</v>
      </c>
      <c r="H2" t="s">
        <v>4</v>
      </c>
      <c r="I2" t="s">
        <v>5</v>
      </c>
    </row>
    <row r="3" spans="2:9" x14ac:dyDescent="0.35">
      <c r="B3">
        <v>1</v>
      </c>
      <c r="C3" t="s">
        <v>17</v>
      </c>
      <c r="D3">
        <v>3</v>
      </c>
      <c r="E3" t="s">
        <v>78</v>
      </c>
      <c r="F3" t="s">
        <v>29</v>
      </c>
      <c r="G3">
        <f>+SUMIF(Tabla5[[#Headers],[#Data],[CODIGO ]],Tabla4[[#This Row],[CODIGO ]],Tabla5[[#Headers],[#Data],[ENTRADA ]])</f>
        <v>0</v>
      </c>
      <c r="H3">
        <f>SUMIF(Tabla6[[#All],[CODIGO ]],Tabla4[[#This Row],[CODIGO ]],Tabla6[[#All],[SALIDA ]])</f>
        <v>0</v>
      </c>
      <c r="I3" s="2">
        <f>+Tabla4[[#This Row],[STOCK INICIAL]]+Tabla4[[#This Row],[ENTRADAS]]-Tabla4[[#This Row],[SALIDAS]]</f>
        <v>3</v>
      </c>
    </row>
    <row r="4" spans="2:9" x14ac:dyDescent="0.35">
      <c r="B4">
        <v>2</v>
      </c>
      <c r="C4" t="s">
        <v>18</v>
      </c>
      <c r="D4">
        <v>12</v>
      </c>
      <c r="E4" t="s">
        <v>97</v>
      </c>
      <c r="F4" t="s">
        <v>29</v>
      </c>
      <c r="G4">
        <f>+SUMIF(Tabla5[[#Headers],[#Data],[CODIGO ]],Tabla4[[#This Row],[CODIGO ]],Tabla5[[#Headers],[#Data],[ENTRADA ]])</f>
        <v>0</v>
      </c>
      <c r="H4">
        <f>SUMIF(Tabla6[[#All],[CODIGO ]],Tabla4[[#This Row],[CODIGO ]],Tabla6[[#All],[SALIDA ]])</f>
        <v>0</v>
      </c>
      <c r="I4" s="2">
        <f>+Tabla4[[#This Row],[STOCK INICIAL]]+Tabla4[[#This Row],[ENTRADAS]]-Tabla4[[#This Row],[SALIDAS]]</f>
        <v>12</v>
      </c>
    </row>
    <row r="5" spans="2:9" x14ac:dyDescent="0.35">
      <c r="B5">
        <v>3</v>
      </c>
      <c r="C5" t="s">
        <v>14</v>
      </c>
      <c r="D5">
        <v>8</v>
      </c>
      <c r="E5" t="s">
        <v>78</v>
      </c>
      <c r="F5" t="s">
        <v>29</v>
      </c>
      <c r="G5">
        <f>+SUMIF(Tabla5[[#Headers],[#Data],[CODIGO ]],Tabla4[[#This Row],[CODIGO ]],Tabla5[[#Headers],[#Data],[ENTRADA ]])</f>
        <v>0</v>
      </c>
      <c r="H5">
        <f>SUMIF(Tabla6[[#All],[CODIGO ]],Tabla4[[#This Row],[CODIGO ]],Tabla6[[#All],[SALIDA ]])</f>
        <v>0</v>
      </c>
      <c r="I5" s="2">
        <f>+Tabla4[[#This Row],[STOCK INICIAL]]+Tabla4[[#This Row],[ENTRADAS]]-Tabla4[[#This Row],[SALIDAS]]</f>
        <v>8</v>
      </c>
    </row>
    <row r="6" spans="2:9" x14ac:dyDescent="0.35">
      <c r="B6">
        <v>4</v>
      </c>
      <c r="C6" t="s">
        <v>12</v>
      </c>
      <c r="D6">
        <v>5</v>
      </c>
      <c r="E6" t="s">
        <v>78</v>
      </c>
      <c r="F6" t="s">
        <v>29</v>
      </c>
      <c r="G6">
        <f>+SUMIF(Tabla5[[#Headers],[#Data],[CODIGO ]],Tabla4[[#This Row],[CODIGO ]],Tabla5[[#Headers],[#Data],[ENTRADA ]])</f>
        <v>0</v>
      </c>
      <c r="H6">
        <f>SUMIF(Tabla6[[#All],[CODIGO ]],Tabla4[[#This Row],[CODIGO ]],Tabla6[[#All],[SALIDA ]])</f>
        <v>0</v>
      </c>
      <c r="I6" s="2">
        <f>+Tabla4[[#This Row],[STOCK INICIAL]]+Tabla4[[#This Row],[ENTRADAS]]-Tabla4[[#This Row],[SALIDAS]]</f>
        <v>5</v>
      </c>
    </row>
    <row r="7" spans="2:9" x14ac:dyDescent="0.35">
      <c r="B7">
        <v>5</v>
      </c>
      <c r="C7" t="s">
        <v>111</v>
      </c>
      <c r="D7">
        <v>2</v>
      </c>
      <c r="E7" t="s">
        <v>112</v>
      </c>
      <c r="F7" t="s">
        <v>29</v>
      </c>
      <c r="G7">
        <f>+SUMIF(Tabla5[[#Headers],[#Data],[CODIGO ]],Tabla4[[#This Row],[CODIGO ]],Tabla5[[#Headers],[#Data],[ENTRADA ]])</f>
        <v>0</v>
      </c>
      <c r="H7">
        <f>SUMIF(Tabla6[[#All],[CODIGO ]],Tabla4[[#This Row],[CODIGO ]],Tabla6[[#All],[SALIDA ]])</f>
        <v>0</v>
      </c>
      <c r="I7" s="2">
        <f>+Tabla4[[#This Row],[STOCK INICIAL]]+Tabla4[[#This Row],[ENTRADAS]]-Tabla4[[#This Row],[SALIDAS]]</f>
        <v>2</v>
      </c>
    </row>
    <row r="8" spans="2:9" x14ac:dyDescent="0.35">
      <c r="B8">
        <v>6</v>
      </c>
      <c r="C8" t="s">
        <v>11</v>
      </c>
      <c r="D8">
        <v>12</v>
      </c>
      <c r="E8" t="s">
        <v>97</v>
      </c>
      <c r="F8" t="s">
        <v>29</v>
      </c>
      <c r="G8">
        <f>+SUMIF(Tabla5[[#Headers],[#Data],[CODIGO ]],Tabla4[[#This Row],[CODIGO ]],Tabla5[[#Headers],[#Data],[ENTRADA ]])</f>
        <v>0</v>
      </c>
      <c r="H8">
        <f>SUMIF(Tabla6[[#All],[CODIGO ]],Tabla4[[#This Row],[CODIGO ]],Tabla6[[#All],[SALIDA ]])</f>
        <v>0</v>
      </c>
      <c r="I8" s="2">
        <f>+Tabla4[[#This Row],[STOCK INICIAL]]+Tabla4[[#This Row],[ENTRADAS]]-Tabla4[[#This Row],[SALIDAS]]</f>
        <v>12</v>
      </c>
    </row>
    <row r="9" spans="2:9" x14ac:dyDescent="0.35">
      <c r="B9">
        <v>7</v>
      </c>
      <c r="C9" t="s">
        <v>108</v>
      </c>
      <c r="D9">
        <v>2</v>
      </c>
      <c r="E9" t="s">
        <v>33</v>
      </c>
      <c r="F9" t="s">
        <v>29</v>
      </c>
      <c r="G9">
        <f>+SUMIF(Tabla5[[#Headers],[#Data],[CODIGO ]],Tabla4[[#This Row],[CODIGO ]],Tabla5[[#Headers],[#Data],[ENTRADA ]])</f>
        <v>0</v>
      </c>
      <c r="H9">
        <f>SUMIF(Tabla6[[#All],[CODIGO ]],Tabla4[[#This Row],[CODIGO ]],Tabla6[[#All],[SALIDA ]])</f>
        <v>0</v>
      </c>
      <c r="I9" s="2">
        <f>+Tabla4[[#This Row],[STOCK INICIAL]]+Tabla4[[#This Row],[ENTRADAS]]-Tabla4[[#This Row],[SALIDAS]]</f>
        <v>2</v>
      </c>
    </row>
    <row r="10" spans="2:9" x14ac:dyDescent="0.35">
      <c r="B10">
        <v>8</v>
      </c>
      <c r="C10" t="s">
        <v>106</v>
      </c>
      <c r="D10">
        <v>9</v>
      </c>
      <c r="E10" t="s">
        <v>107</v>
      </c>
      <c r="F10" t="s">
        <v>29</v>
      </c>
      <c r="G10">
        <f>+SUMIF(Tabla5[[#Headers],[#Data],[CODIGO ]],Tabla4[[#This Row],[CODIGO ]],Tabla5[[#Headers],[#Data],[ENTRADA ]])</f>
        <v>0</v>
      </c>
      <c r="H10">
        <f>SUMIF(Tabla6[[#All],[CODIGO ]],Tabla4[[#This Row],[CODIGO ]],Tabla6[[#All],[SALIDA ]])</f>
        <v>5</v>
      </c>
      <c r="I10" s="2">
        <f>+Tabla4[[#This Row],[STOCK INICIAL]]+Tabla4[[#This Row],[ENTRADAS]]-Tabla4[[#This Row],[SALIDAS]]</f>
        <v>4</v>
      </c>
    </row>
    <row r="11" spans="2:9" x14ac:dyDescent="0.35">
      <c r="B11">
        <v>9</v>
      </c>
      <c r="C11" t="s">
        <v>114</v>
      </c>
      <c r="D11">
        <v>4</v>
      </c>
      <c r="E11" t="s">
        <v>107</v>
      </c>
      <c r="F11" t="s">
        <v>29</v>
      </c>
      <c r="G11">
        <f>+SUMIF(Tabla5[[#Headers],[#Data],[CODIGO ]],Tabla4[[#This Row],[CODIGO ]],Tabla5[[#Headers],[#Data],[ENTRADA ]])</f>
        <v>0</v>
      </c>
      <c r="H11">
        <f>SUMIF(Tabla6[[#All],[CODIGO ]],Tabla4[[#This Row],[CODIGO ]],Tabla6[[#All],[SALIDA ]])</f>
        <v>0</v>
      </c>
      <c r="I11" s="2">
        <f>+Tabla4[[#This Row],[STOCK INICIAL]]+Tabla4[[#This Row],[ENTRADAS]]-Tabla4[[#This Row],[SALIDAS]]</f>
        <v>4</v>
      </c>
    </row>
    <row r="12" spans="2:9" x14ac:dyDescent="0.35">
      <c r="B12">
        <v>10</v>
      </c>
      <c r="C12" t="s">
        <v>69</v>
      </c>
      <c r="D12">
        <v>2</v>
      </c>
      <c r="E12" t="s">
        <v>70</v>
      </c>
      <c r="F12" t="s">
        <v>31</v>
      </c>
      <c r="G12">
        <f>+SUMIF(Tabla5[[#Headers],[#Data],[CODIGO ]],Tabla4[[#This Row],[CODIGO ]],Tabla5[[#Headers],[#Data],[ENTRADA ]])</f>
        <v>0</v>
      </c>
      <c r="H12">
        <f>SUMIF(Tabla6[[#All],[CODIGO ]],Tabla4[[#This Row],[CODIGO ]],Tabla6[[#All],[SALIDA ]])</f>
        <v>0</v>
      </c>
      <c r="I12" s="2">
        <f>+Tabla4[[#This Row],[STOCK INICIAL]]+Tabla4[[#This Row],[ENTRADAS]]-Tabla4[[#This Row],[SALIDAS]]</f>
        <v>2</v>
      </c>
    </row>
    <row r="13" spans="2:9" x14ac:dyDescent="0.35">
      <c r="B13">
        <v>11</v>
      </c>
      <c r="C13" t="s">
        <v>54</v>
      </c>
      <c r="D13">
        <v>1</v>
      </c>
      <c r="E13" t="s">
        <v>44</v>
      </c>
      <c r="F13" t="s">
        <v>31</v>
      </c>
      <c r="G13">
        <f>+SUMIF(Tabla5[[#Headers],[#Data],[CODIGO ]],Tabla4[[#This Row],[CODIGO ]],Tabla5[[#Headers],[#Data],[ENTRADA ]])</f>
        <v>0</v>
      </c>
      <c r="H13">
        <f>SUMIF(Tabla6[[#All],[CODIGO ]],Tabla4[[#This Row],[CODIGO ]],Tabla6[[#All],[SALIDA ]])</f>
        <v>0</v>
      </c>
      <c r="I13" s="2">
        <f>+Tabla4[[#This Row],[STOCK INICIAL]]+Tabla4[[#This Row],[ENTRADAS]]-Tabla4[[#This Row],[SALIDAS]]</f>
        <v>1</v>
      </c>
    </row>
    <row r="14" spans="2:9" x14ac:dyDescent="0.35">
      <c r="B14">
        <v>12</v>
      </c>
      <c r="C14" t="s">
        <v>55</v>
      </c>
      <c r="D14">
        <v>2</v>
      </c>
      <c r="E14" t="s">
        <v>44</v>
      </c>
      <c r="F14" t="s">
        <v>31</v>
      </c>
      <c r="G14">
        <f>+SUMIF(Tabla5[[#Headers],[#Data],[CODIGO ]],Tabla4[[#This Row],[CODIGO ]],Tabla5[[#Headers],[#Data],[ENTRADA ]])</f>
        <v>0</v>
      </c>
      <c r="H14">
        <f>SUMIF(Tabla6[[#All],[CODIGO ]],Tabla4[[#This Row],[CODIGO ]],Tabla6[[#All],[SALIDA ]])</f>
        <v>0</v>
      </c>
      <c r="I14" s="2">
        <f>+Tabla4[[#This Row],[STOCK INICIAL]]+Tabla4[[#This Row],[ENTRADAS]]-Tabla4[[#This Row],[SALIDAS]]</f>
        <v>2</v>
      </c>
    </row>
    <row r="15" spans="2:9" x14ac:dyDescent="0.35">
      <c r="B15">
        <v>13</v>
      </c>
      <c r="C15" t="s">
        <v>56</v>
      </c>
      <c r="D15">
        <v>1</v>
      </c>
      <c r="E15" t="s">
        <v>44</v>
      </c>
      <c r="F15" t="s">
        <v>31</v>
      </c>
      <c r="G15">
        <f>+SUMIF(Tabla5[[#Headers],[#Data],[CODIGO ]],Tabla4[[#This Row],[CODIGO ]],Tabla5[[#Headers],[#Data],[ENTRADA ]])</f>
        <v>0</v>
      </c>
      <c r="H15">
        <f>SUMIF(Tabla6[[#All],[CODIGO ]],Tabla4[[#This Row],[CODIGO ]],Tabla6[[#All],[SALIDA ]])</f>
        <v>0</v>
      </c>
      <c r="I15" s="2">
        <f>+Tabla4[[#This Row],[STOCK INICIAL]]+Tabla4[[#This Row],[ENTRADAS]]-Tabla4[[#This Row],[SALIDAS]]</f>
        <v>1</v>
      </c>
    </row>
    <row r="16" spans="2:9" x14ac:dyDescent="0.35">
      <c r="B16">
        <v>14</v>
      </c>
      <c r="C16" t="s">
        <v>52</v>
      </c>
      <c r="D16">
        <v>3</v>
      </c>
      <c r="E16" t="s">
        <v>53</v>
      </c>
      <c r="F16" t="s">
        <v>31</v>
      </c>
      <c r="G16">
        <f>+SUMIF(Tabla5[[#Headers],[#Data],[CODIGO ]],Tabla4[[#This Row],[CODIGO ]],Tabla5[[#Headers],[#Data],[ENTRADA ]])</f>
        <v>0</v>
      </c>
      <c r="H16">
        <f>SUMIF(Tabla6[[#All],[CODIGO ]],Tabla4[[#This Row],[CODIGO ]],Tabla6[[#All],[SALIDA ]])</f>
        <v>0</v>
      </c>
      <c r="I16" s="2">
        <f>+Tabla4[[#This Row],[STOCK INICIAL]]+Tabla4[[#This Row],[ENTRADAS]]-Tabla4[[#This Row],[SALIDAS]]</f>
        <v>3</v>
      </c>
    </row>
    <row r="17" spans="2:9" x14ac:dyDescent="0.35">
      <c r="B17">
        <v>15</v>
      </c>
      <c r="C17" t="s">
        <v>57</v>
      </c>
      <c r="D17">
        <v>1</v>
      </c>
      <c r="E17" t="s">
        <v>58</v>
      </c>
      <c r="F17" t="s">
        <v>31</v>
      </c>
      <c r="G17">
        <f>+SUMIF(Tabla5[[#Headers],[#Data],[CODIGO ]],Tabla4[[#This Row],[CODIGO ]],Tabla5[[#Headers],[#Data],[ENTRADA ]])</f>
        <v>0</v>
      </c>
      <c r="H17">
        <f>SUMIF(Tabla6[[#All],[CODIGO ]],Tabla4[[#This Row],[CODIGO ]],Tabla6[[#All],[SALIDA ]])</f>
        <v>0</v>
      </c>
      <c r="I17" s="2">
        <f>+Tabla4[[#This Row],[STOCK INICIAL]]+Tabla4[[#This Row],[ENTRADAS]]-Tabla4[[#This Row],[SALIDAS]]</f>
        <v>1</v>
      </c>
    </row>
    <row r="18" spans="2:9" x14ac:dyDescent="0.35">
      <c r="B18">
        <v>16</v>
      </c>
      <c r="C18" t="s">
        <v>49</v>
      </c>
      <c r="D18">
        <v>1</v>
      </c>
      <c r="E18" t="s">
        <v>45</v>
      </c>
      <c r="F18" t="s">
        <v>31</v>
      </c>
      <c r="G18">
        <f>+SUMIF(Tabla5[[#Headers],[#Data],[CODIGO ]],Tabla4[[#This Row],[CODIGO ]],Tabla5[[#Headers],[#Data],[ENTRADA ]])</f>
        <v>0</v>
      </c>
      <c r="H18">
        <f>SUMIF(Tabla6[[#All],[CODIGO ]],Tabla4[[#This Row],[CODIGO ]],Tabla6[[#All],[SALIDA ]])</f>
        <v>0</v>
      </c>
      <c r="I18" s="2">
        <f>+Tabla4[[#This Row],[STOCK INICIAL]]+Tabla4[[#This Row],[ENTRADAS]]-Tabla4[[#This Row],[SALIDAS]]</f>
        <v>1</v>
      </c>
    </row>
    <row r="19" spans="2:9" x14ac:dyDescent="0.35">
      <c r="B19">
        <v>17</v>
      </c>
      <c r="C19" t="s">
        <v>46</v>
      </c>
      <c r="D19">
        <v>2</v>
      </c>
      <c r="E19" t="s">
        <v>45</v>
      </c>
      <c r="F19" t="s">
        <v>31</v>
      </c>
      <c r="G19">
        <f>+SUMIF(Tabla5[[#Headers],[#Data],[CODIGO ]],Tabla4[[#This Row],[CODIGO ]],Tabla5[[#Headers],[#Data],[ENTRADA ]])</f>
        <v>0</v>
      </c>
      <c r="H19">
        <f>SUMIF(Tabla6[[#All],[CODIGO ]],Tabla4[[#This Row],[CODIGO ]],Tabla6[[#All],[SALIDA ]])</f>
        <v>0</v>
      </c>
      <c r="I19" s="2">
        <f>+Tabla4[[#This Row],[STOCK INICIAL]]+Tabla4[[#This Row],[ENTRADAS]]-Tabla4[[#This Row],[SALIDAS]]</f>
        <v>2</v>
      </c>
    </row>
    <row r="20" spans="2:9" x14ac:dyDescent="0.35">
      <c r="B20">
        <v>18</v>
      </c>
      <c r="C20" t="s">
        <v>51</v>
      </c>
      <c r="D20">
        <v>4</v>
      </c>
      <c r="E20" t="s">
        <v>45</v>
      </c>
      <c r="F20" t="s">
        <v>31</v>
      </c>
      <c r="G20">
        <f>+SUMIF(Tabla5[[#Headers],[#Data],[CODIGO ]],Tabla4[[#This Row],[CODIGO ]],Tabla5[[#Headers],[#Data],[ENTRADA ]])</f>
        <v>0</v>
      </c>
      <c r="H20">
        <f>SUMIF(Tabla6[[#All],[CODIGO ]],Tabla4[[#This Row],[CODIGO ]],Tabla6[[#All],[SALIDA ]])</f>
        <v>0</v>
      </c>
      <c r="I20" s="2">
        <f>+Tabla4[[#This Row],[STOCK INICIAL]]+Tabla4[[#This Row],[ENTRADAS]]-Tabla4[[#This Row],[SALIDAS]]</f>
        <v>4</v>
      </c>
    </row>
    <row r="21" spans="2:9" x14ac:dyDescent="0.35">
      <c r="B21">
        <v>19</v>
      </c>
      <c r="C21" t="s">
        <v>47</v>
      </c>
      <c r="D21">
        <v>10</v>
      </c>
      <c r="E21" t="s">
        <v>45</v>
      </c>
      <c r="F21" t="s">
        <v>31</v>
      </c>
      <c r="G21">
        <f>+SUMIF(Tabla5[[#Headers],[#Data],[CODIGO ]],Tabla4[[#This Row],[CODIGO ]],Tabla5[[#Headers],[#Data],[ENTRADA ]])</f>
        <v>0</v>
      </c>
      <c r="H21">
        <f>SUMIF(Tabla6[[#All],[CODIGO ]],Tabla4[[#This Row],[CODIGO ]],Tabla6[[#All],[SALIDA ]])</f>
        <v>0</v>
      </c>
      <c r="I21" s="2">
        <f>+Tabla4[[#This Row],[STOCK INICIAL]]+Tabla4[[#This Row],[ENTRADAS]]-Tabla4[[#This Row],[SALIDAS]]</f>
        <v>10</v>
      </c>
    </row>
    <row r="22" spans="2:9" x14ac:dyDescent="0.35">
      <c r="B22">
        <v>20</v>
      </c>
      <c r="C22" t="s">
        <v>48</v>
      </c>
      <c r="D22">
        <v>4</v>
      </c>
      <c r="E22" t="s">
        <v>45</v>
      </c>
      <c r="F22" t="s">
        <v>31</v>
      </c>
      <c r="G22">
        <f>+SUMIF(Tabla5[[#Headers],[#Data],[CODIGO ]],Tabla4[[#This Row],[CODIGO ]],Tabla5[[#Headers],[#Data],[ENTRADA ]])</f>
        <v>0</v>
      </c>
      <c r="H22">
        <f>SUMIF(Tabla6[[#All],[CODIGO ]],Tabla4[[#This Row],[CODIGO ]],Tabla6[[#All],[SALIDA ]])</f>
        <v>0</v>
      </c>
      <c r="I22" s="2">
        <f>+Tabla4[[#This Row],[STOCK INICIAL]]+Tabla4[[#This Row],[ENTRADAS]]-Tabla4[[#This Row],[SALIDAS]]</f>
        <v>4</v>
      </c>
    </row>
    <row r="23" spans="2:9" x14ac:dyDescent="0.35">
      <c r="B23">
        <v>21</v>
      </c>
      <c r="C23" t="s">
        <v>50</v>
      </c>
      <c r="D23">
        <v>3</v>
      </c>
      <c r="E23" t="s">
        <v>45</v>
      </c>
      <c r="F23" t="s">
        <v>31</v>
      </c>
      <c r="G23">
        <f>+SUMIF(Tabla5[[#Headers],[#Data],[CODIGO ]],Tabla4[[#This Row],[CODIGO ]],Tabla5[[#Headers],[#Data],[ENTRADA ]])</f>
        <v>0</v>
      </c>
      <c r="H23">
        <f>SUMIF(Tabla6[[#All],[CODIGO ]],Tabla4[[#This Row],[CODIGO ]],Tabla6[[#All],[SALIDA ]])</f>
        <v>0</v>
      </c>
      <c r="I23" s="2">
        <f>+Tabla4[[#This Row],[STOCK INICIAL]]+Tabla4[[#This Row],[ENTRADAS]]-Tabla4[[#This Row],[SALIDAS]]</f>
        <v>3</v>
      </c>
    </row>
    <row r="24" spans="2:9" x14ac:dyDescent="0.35">
      <c r="B24">
        <v>22</v>
      </c>
      <c r="C24" t="s">
        <v>19</v>
      </c>
      <c r="D24">
        <v>67</v>
      </c>
      <c r="E24" t="s">
        <v>38</v>
      </c>
      <c r="F24" t="s">
        <v>29</v>
      </c>
      <c r="G24">
        <f>+SUMIF(Tabla5[[#Headers],[#Data],[CODIGO ]],Tabla4[[#This Row],[CODIGO ]],Tabla5[[#Headers],[#Data],[ENTRADA ]])</f>
        <v>0</v>
      </c>
      <c r="H24">
        <f>SUMIF(Tabla6[[#All],[CODIGO ]],Tabla4[[#This Row],[CODIGO ]],Tabla6[[#All],[SALIDA ]])</f>
        <v>3</v>
      </c>
      <c r="I24" s="2">
        <f>+Tabla4[[#This Row],[STOCK INICIAL]]+Tabla4[[#This Row],[ENTRADAS]]-Tabla4[[#This Row],[SALIDAS]]</f>
        <v>64</v>
      </c>
    </row>
    <row r="25" spans="2:9" x14ac:dyDescent="0.35">
      <c r="B25">
        <v>23</v>
      </c>
      <c r="C25" t="s">
        <v>20</v>
      </c>
      <c r="D25">
        <v>392</v>
      </c>
      <c r="E25" t="s">
        <v>44</v>
      </c>
      <c r="F25" t="s">
        <v>29</v>
      </c>
      <c r="G25">
        <f>+SUMIF(Tabla5[[#Headers],[#Data],[CODIGO ]],Tabla4[[#This Row],[CODIGO ]],Tabla5[[#Headers],[#Data],[ENTRADA ]])</f>
        <v>0</v>
      </c>
      <c r="H25">
        <f>SUMIF(Tabla6[[#All],[CODIGO ]],Tabla4[[#This Row],[CODIGO ]],Tabla6[[#All],[SALIDA ]])</f>
        <v>8</v>
      </c>
      <c r="I25" s="2">
        <f>+Tabla4[[#This Row],[STOCK INICIAL]]+Tabla4[[#This Row],[ENTRADAS]]-Tabla4[[#This Row],[SALIDAS]]</f>
        <v>384</v>
      </c>
    </row>
    <row r="26" spans="2:9" x14ac:dyDescent="0.35">
      <c r="B26">
        <v>24</v>
      </c>
      <c r="C26" t="s">
        <v>21</v>
      </c>
      <c r="D26">
        <v>246</v>
      </c>
      <c r="E26" t="s">
        <v>44</v>
      </c>
      <c r="F26" t="s">
        <v>29</v>
      </c>
      <c r="G26">
        <f>+SUMIF(Tabla5[[#Headers],[#Data],[CODIGO ]],Tabla4[[#This Row],[CODIGO ]],Tabla5[[#Headers],[#Data],[ENTRADA ]])</f>
        <v>0</v>
      </c>
      <c r="H26">
        <f>SUMIF(Tabla6[[#All],[CODIGO ]],Tabla4[[#This Row],[CODIGO ]],Tabla6[[#All],[SALIDA ]])</f>
        <v>2</v>
      </c>
      <c r="I26" s="2">
        <f>+Tabla4[[#This Row],[STOCK INICIAL]]+Tabla4[[#This Row],[ENTRADAS]]-Tabla4[[#This Row],[SALIDAS]]</f>
        <v>244</v>
      </c>
    </row>
    <row r="27" spans="2:9" x14ac:dyDescent="0.35">
      <c r="B27">
        <v>25</v>
      </c>
      <c r="C27" t="s">
        <v>22</v>
      </c>
      <c r="D27">
        <v>185</v>
      </c>
      <c r="E27" t="s">
        <v>44</v>
      </c>
      <c r="F27" t="s">
        <v>29</v>
      </c>
      <c r="G27">
        <f>+SUMIF(Tabla5[[#Headers],[#Data],[CODIGO ]],Tabla4[[#This Row],[CODIGO ]],Tabla5[[#Headers],[#Data],[ENTRADA ]])</f>
        <v>0</v>
      </c>
      <c r="H27">
        <f>SUMIF(Tabla6[[#All],[CODIGO ]],Tabla4[[#This Row],[CODIGO ]],Tabla6[[#All],[SALIDA ]])</f>
        <v>41</v>
      </c>
      <c r="I27" s="2">
        <f>+Tabla4[[#This Row],[STOCK INICIAL]]+Tabla4[[#This Row],[ENTRADAS]]-Tabla4[[#This Row],[SALIDAS]]</f>
        <v>144</v>
      </c>
    </row>
    <row r="28" spans="2:9" x14ac:dyDescent="0.35">
      <c r="B28">
        <v>26</v>
      </c>
      <c r="C28" t="s">
        <v>13</v>
      </c>
      <c r="D28">
        <v>1</v>
      </c>
      <c r="E28" t="s">
        <v>44</v>
      </c>
      <c r="F28" t="s">
        <v>29</v>
      </c>
      <c r="G28">
        <f>+SUMIF(Tabla5[[#Headers],[#Data],[CODIGO ]],Tabla4[[#This Row],[CODIGO ]],Tabla5[[#Headers],[#Data],[ENTRADA ]])</f>
        <v>0</v>
      </c>
      <c r="H28">
        <f>SUMIF(Tabla6[[#All],[CODIGO ]],Tabla4[[#This Row],[CODIGO ]],Tabla6[[#All],[SALIDA ]])</f>
        <v>0</v>
      </c>
      <c r="I28" s="2">
        <f>+Tabla4[[#This Row],[STOCK INICIAL]]+Tabla4[[#This Row],[ENTRADAS]]-Tabla4[[#This Row],[SALIDAS]]</f>
        <v>1</v>
      </c>
    </row>
    <row r="29" spans="2:9" x14ac:dyDescent="0.35">
      <c r="B29">
        <v>27</v>
      </c>
      <c r="C29" t="s">
        <v>104</v>
      </c>
      <c r="D29">
        <v>2</v>
      </c>
      <c r="E29" t="s">
        <v>78</v>
      </c>
      <c r="F29" t="s">
        <v>29</v>
      </c>
      <c r="G29">
        <f>+SUMIF(Tabla5[[#Headers],[#Data],[CODIGO ]],Tabla4[[#This Row],[CODIGO ]],Tabla5[[#Headers],[#Data],[ENTRADA ]])</f>
        <v>0</v>
      </c>
      <c r="H29">
        <f>SUMIF(Tabla6[[#All],[CODIGO ]],Tabla4[[#This Row],[CODIGO ]],Tabla6[[#All],[SALIDA ]])</f>
        <v>0</v>
      </c>
      <c r="I29" s="2">
        <f>+Tabla4[[#This Row],[STOCK INICIAL]]+Tabla4[[#This Row],[ENTRADAS]]-Tabla4[[#This Row],[SALIDAS]]</f>
        <v>2</v>
      </c>
    </row>
    <row r="30" spans="2:9" x14ac:dyDescent="0.35">
      <c r="B30">
        <v>28</v>
      </c>
      <c r="C30" t="s">
        <v>103</v>
      </c>
      <c r="D30">
        <v>6</v>
      </c>
      <c r="E30" t="s">
        <v>78</v>
      </c>
      <c r="F30" t="s">
        <v>29</v>
      </c>
      <c r="G30">
        <f>+SUMIF(Tabla5[[#Headers],[#Data],[CODIGO ]],Tabla4[[#This Row],[CODIGO ]],Tabla5[[#Headers],[#Data],[ENTRADA ]])</f>
        <v>0</v>
      </c>
      <c r="H30">
        <f>SUMIF(Tabla6[[#All],[CODIGO ]],Tabla4[[#This Row],[CODIGO ]],Tabla6[[#All],[SALIDA ]])</f>
        <v>0</v>
      </c>
      <c r="I30" s="2">
        <f>+Tabla4[[#This Row],[STOCK INICIAL]]+Tabla4[[#This Row],[ENTRADAS]]-Tabla4[[#This Row],[SALIDAS]]</f>
        <v>6</v>
      </c>
    </row>
    <row r="31" spans="2:9" x14ac:dyDescent="0.35">
      <c r="B31">
        <v>29</v>
      </c>
      <c r="C31" t="s">
        <v>42</v>
      </c>
      <c r="D31">
        <v>1</v>
      </c>
      <c r="E31" t="s">
        <v>43</v>
      </c>
      <c r="F31" t="s">
        <v>29</v>
      </c>
      <c r="G31">
        <f>+SUMIF(Tabla5[[#Headers],[#Data],[CODIGO ]],Tabla4[[#This Row],[CODIGO ]],Tabla5[[#Headers],[#Data],[ENTRADA ]])</f>
        <v>0</v>
      </c>
      <c r="H31">
        <f>SUMIF(Tabla6[[#All],[CODIGO ]],Tabla4[[#This Row],[CODIGO ]],Tabla6[[#All],[SALIDA ]])</f>
        <v>0</v>
      </c>
      <c r="I31" s="2">
        <f>+Tabla4[[#This Row],[STOCK INICIAL]]+Tabla4[[#This Row],[ENTRADAS]]-Tabla4[[#This Row],[SALIDAS]]</f>
        <v>1</v>
      </c>
    </row>
    <row r="32" spans="2:9" x14ac:dyDescent="0.35">
      <c r="B32">
        <v>30</v>
      </c>
      <c r="C32" t="s">
        <v>34</v>
      </c>
      <c r="D32">
        <v>2</v>
      </c>
      <c r="E32" t="s">
        <v>33</v>
      </c>
      <c r="F32" t="s">
        <v>29</v>
      </c>
      <c r="G32">
        <f>+SUMIF(Tabla5[[#Headers],[#Data],[CODIGO ]],Tabla4[[#This Row],[CODIGO ]],Tabla5[[#Headers],[#Data],[ENTRADA ]])</f>
        <v>0</v>
      </c>
      <c r="H32">
        <f>SUMIF(Tabla6[[#All],[CODIGO ]],Tabla4[[#This Row],[CODIGO ]],Tabla6[[#All],[SALIDA ]])</f>
        <v>1</v>
      </c>
      <c r="I32" s="2">
        <f>+Tabla4[[#This Row],[STOCK INICIAL]]+Tabla4[[#This Row],[ENTRADAS]]-Tabla4[[#This Row],[SALIDAS]]</f>
        <v>1</v>
      </c>
    </row>
    <row r="33" spans="2:9" x14ac:dyDescent="0.35">
      <c r="B33">
        <v>31</v>
      </c>
      <c r="C33" t="s">
        <v>35</v>
      </c>
      <c r="D33">
        <v>10</v>
      </c>
      <c r="E33" t="s">
        <v>33</v>
      </c>
      <c r="F33" t="s">
        <v>29</v>
      </c>
      <c r="G33">
        <f>+SUMIF(Tabla5[[#Headers],[#Data],[CODIGO ]],Tabla4[[#This Row],[CODIGO ]],Tabla5[[#Headers],[#Data],[ENTRADA ]])</f>
        <v>0</v>
      </c>
      <c r="H33">
        <f>SUMIF(Tabla6[[#All],[CODIGO ]],Tabla4[[#This Row],[CODIGO ]],Tabla6[[#All],[SALIDA ]])</f>
        <v>0</v>
      </c>
      <c r="I33" s="2">
        <f>+Tabla4[[#This Row],[STOCK INICIAL]]+Tabla4[[#This Row],[ENTRADAS]]-Tabla4[[#This Row],[SALIDAS]]</f>
        <v>10</v>
      </c>
    </row>
    <row r="34" spans="2:9" x14ac:dyDescent="0.35">
      <c r="B34">
        <v>32</v>
      </c>
      <c r="C34" t="s">
        <v>36</v>
      </c>
      <c r="D34">
        <v>10</v>
      </c>
      <c r="E34" t="s">
        <v>33</v>
      </c>
      <c r="F34" t="s">
        <v>29</v>
      </c>
      <c r="G34">
        <f>+SUMIF(Tabla5[[#Headers],[#Data],[CODIGO ]],Tabla4[[#This Row],[CODIGO ]],Tabla5[[#Headers],[#Data],[ENTRADA ]])</f>
        <v>0</v>
      </c>
      <c r="H34">
        <f>SUMIF(Tabla6[[#All],[CODIGO ]],Tabla4[[#This Row],[CODIGO ]],Tabla6[[#All],[SALIDA ]])</f>
        <v>0</v>
      </c>
      <c r="I34" s="2">
        <f>+Tabla4[[#This Row],[STOCK INICIAL]]+Tabla4[[#This Row],[ENTRADAS]]-Tabla4[[#This Row],[SALIDAS]]</f>
        <v>10</v>
      </c>
    </row>
    <row r="35" spans="2:9" x14ac:dyDescent="0.35">
      <c r="B35">
        <v>33</v>
      </c>
      <c r="C35" t="s">
        <v>37</v>
      </c>
      <c r="D35">
        <v>14</v>
      </c>
      <c r="E35" t="s">
        <v>33</v>
      </c>
      <c r="F35" t="s">
        <v>29</v>
      </c>
      <c r="G35">
        <f>+SUMIF(Tabla5[[#Headers],[#Data],[CODIGO ]],Tabla4[[#This Row],[CODIGO ]],Tabla5[[#Headers],[#Data],[ENTRADA ]])</f>
        <v>0</v>
      </c>
      <c r="H35">
        <f>SUMIF(Tabla6[[#All],[CODIGO ]],Tabla4[[#This Row],[CODIGO ]],Tabla6[[#All],[SALIDA ]])</f>
        <v>0</v>
      </c>
      <c r="I35" s="2">
        <f>+Tabla4[[#This Row],[STOCK INICIAL]]+Tabla4[[#This Row],[ENTRADAS]]-Tabla4[[#This Row],[SALIDAS]]</f>
        <v>14</v>
      </c>
    </row>
    <row r="36" spans="2:9" x14ac:dyDescent="0.35">
      <c r="B36">
        <v>34</v>
      </c>
      <c r="C36" t="s">
        <v>9</v>
      </c>
      <c r="D36">
        <v>6</v>
      </c>
      <c r="E36" t="s">
        <v>97</v>
      </c>
      <c r="F36" t="s">
        <v>29</v>
      </c>
      <c r="G36">
        <f>+SUMIF(Tabla5[[#Headers],[#Data],[CODIGO ]],Tabla4[[#This Row],[CODIGO ]],Tabla5[[#Headers],[#Data],[ENTRADA ]])</f>
        <v>0</v>
      </c>
      <c r="H36">
        <f>SUMIF(Tabla6[[#All],[CODIGO ]],Tabla4[[#This Row],[CODIGO ]],Tabla6[[#All],[SALIDA ]])</f>
        <v>2</v>
      </c>
      <c r="I36" s="2">
        <f>+Tabla4[[#This Row],[STOCK INICIAL]]+Tabla4[[#This Row],[ENTRADAS]]-Tabla4[[#This Row],[SALIDAS]]</f>
        <v>4</v>
      </c>
    </row>
    <row r="37" spans="2:9" x14ac:dyDescent="0.35">
      <c r="B37">
        <v>35</v>
      </c>
      <c r="C37" t="s">
        <v>105</v>
      </c>
      <c r="D37">
        <v>3</v>
      </c>
      <c r="E37" t="s">
        <v>38</v>
      </c>
      <c r="F37" t="s">
        <v>29</v>
      </c>
      <c r="G37">
        <f>+SUMIF(Tabla5[[#Headers],[#Data],[CODIGO ]],Tabla4[[#This Row],[CODIGO ]],Tabla5[[#Headers],[#Data],[ENTRADA ]])</f>
        <v>0</v>
      </c>
      <c r="H37">
        <f>SUMIF(Tabla6[[#All],[CODIGO ]],Tabla4[[#This Row],[CODIGO ]],Tabla6[[#All],[SALIDA ]])</f>
        <v>0</v>
      </c>
      <c r="I37" s="2">
        <f>+Tabla4[[#This Row],[STOCK INICIAL]]+Tabla4[[#This Row],[ENTRADAS]]-Tabla4[[#This Row],[SALIDAS]]</f>
        <v>3</v>
      </c>
    </row>
    <row r="38" spans="2:9" x14ac:dyDescent="0.35">
      <c r="B38">
        <v>36</v>
      </c>
      <c r="C38" t="s">
        <v>154</v>
      </c>
      <c r="D38">
        <v>9</v>
      </c>
      <c r="E38" t="s">
        <v>97</v>
      </c>
      <c r="F38" t="s">
        <v>29</v>
      </c>
      <c r="G38">
        <f>+SUMIF(Tabla5[[#Headers],[#Data],[CODIGO ]],Tabla4[[#This Row],[CODIGO ]],Tabla5[[#Headers],[#Data],[ENTRADA ]])</f>
        <v>0</v>
      </c>
      <c r="H38">
        <f>SUMIF(Tabla6[[#All],[CODIGO ]],Tabla4[[#This Row],[CODIGO ]],Tabla6[[#All],[SALIDA ]])</f>
        <v>4</v>
      </c>
      <c r="I38" s="2">
        <f>+Tabla4[[#This Row],[STOCK INICIAL]]+Tabla4[[#This Row],[ENTRADAS]]-Tabla4[[#This Row],[SALIDAS]]</f>
        <v>5</v>
      </c>
    </row>
    <row r="39" spans="2:9" x14ac:dyDescent="0.35">
      <c r="B39">
        <v>37</v>
      </c>
      <c r="C39" t="s">
        <v>149</v>
      </c>
      <c r="D39">
        <v>6</v>
      </c>
      <c r="E39" t="s">
        <v>38</v>
      </c>
      <c r="F39" t="s">
        <v>29</v>
      </c>
      <c r="G39">
        <f>+SUMIF(Tabla5[[#Headers],[#Data],[CODIGO ]],Tabla4[[#This Row],[CODIGO ]],Tabla5[[#Headers],[#Data],[ENTRADA ]])</f>
        <v>0</v>
      </c>
      <c r="H39">
        <f>SUMIF(Tabla6[[#All],[CODIGO ]],Tabla4[[#This Row],[CODIGO ]],Tabla6[[#All],[SALIDA ]])</f>
        <v>5</v>
      </c>
      <c r="I39" s="2">
        <f>+Tabla4[[#This Row],[STOCK INICIAL]]+Tabla4[[#This Row],[ENTRADAS]]-Tabla4[[#This Row],[SALIDAS]]</f>
        <v>1</v>
      </c>
    </row>
    <row r="40" spans="2:9" x14ac:dyDescent="0.35">
      <c r="B40">
        <v>38</v>
      </c>
      <c r="C40" t="s">
        <v>151</v>
      </c>
      <c r="D40">
        <v>4</v>
      </c>
      <c r="E40" t="s">
        <v>38</v>
      </c>
      <c r="F40" t="s">
        <v>29</v>
      </c>
      <c r="G40">
        <f>+SUMIF(Tabla5[[#Headers],[#Data],[CODIGO ]],Tabla4[[#This Row],[CODIGO ]],Tabla5[[#Headers],[#Data],[ENTRADA ]])</f>
        <v>0</v>
      </c>
      <c r="H40">
        <f>SUMIF(Tabla6[[#All],[CODIGO ]],Tabla4[[#This Row],[CODIGO ]],Tabla6[[#All],[SALIDA ]])</f>
        <v>3</v>
      </c>
      <c r="I40" s="2">
        <f>+Tabla4[[#This Row],[STOCK INICIAL]]+Tabla4[[#This Row],[ENTRADAS]]-Tabla4[[#This Row],[SALIDAS]]</f>
        <v>1</v>
      </c>
    </row>
    <row r="41" spans="2:9" x14ac:dyDescent="0.35">
      <c r="B41">
        <v>39</v>
      </c>
      <c r="C41" t="s">
        <v>150</v>
      </c>
      <c r="D41">
        <v>2</v>
      </c>
      <c r="E41" t="s">
        <v>38</v>
      </c>
      <c r="F41" t="s">
        <v>29</v>
      </c>
      <c r="G41">
        <f>+SUMIF(Tabla5[[#Headers],[#Data],[CODIGO ]],Tabla4[[#This Row],[CODIGO ]],Tabla5[[#Headers],[#Data],[ENTRADA ]])</f>
        <v>0</v>
      </c>
      <c r="H41">
        <f>SUMIF(Tabla6[[#All],[CODIGO ]],Tabla4[[#This Row],[CODIGO ]],Tabla6[[#All],[SALIDA ]])</f>
        <v>2</v>
      </c>
      <c r="I41" s="3">
        <f>+Tabla4[[#This Row],[STOCK INICIAL]]+Tabla4[[#This Row],[ENTRADAS]]-Tabla4[[#This Row],[SALIDAS]]</f>
        <v>0</v>
      </c>
    </row>
    <row r="42" spans="2:9" x14ac:dyDescent="0.35">
      <c r="B42">
        <v>40</v>
      </c>
      <c r="C42" t="s">
        <v>152</v>
      </c>
      <c r="D42">
        <v>1</v>
      </c>
      <c r="E42" t="s">
        <v>38</v>
      </c>
      <c r="F42" t="s">
        <v>29</v>
      </c>
      <c r="G42">
        <f>+SUMIF(Tabla5[[#Headers],[#Data],[CODIGO ]],Tabla4[[#This Row],[CODIGO ]],Tabla5[[#Headers],[#Data],[ENTRADA ]])</f>
        <v>0</v>
      </c>
      <c r="H42">
        <f>SUMIF(Tabla6[[#All],[CODIGO ]],Tabla4[[#This Row],[CODIGO ]],Tabla6[[#All],[SALIDA ]])</f>
        <v>1</v>
      </c>
      <c r="I42" s="3">
        <f>+Tabla4[[#This Row],[STOCK INICIAL]]+Tabla4[[#This Row],[ENTRADAS]]-Tabla4[[#This Row],[SALIDAS]]</f>
        <v>0</v>
      </c>
    </row>
    <row r="43" spans="2:9" x14ac:dyDescent="0.35">
      <c r="B43">
        <v>41</v>
      </c>
      <c r="C43" t="s">
        <v>153</v>
      </c>
      <c r="D43">
        <v>2</v>
      </c>
      <c r="E43" t="s">
        <v>38</v>
      </c>
      <c r="F43" t="s">
        <v>29</v>
      </c>
      <c r="G43">
        <f>+SUMIF(Tabla5[[#Headers],[#Data],[CODIGO ]],Tabla4[[#This Row],[CODIGO ]],Tabla5[[#Headers],[#Data],[ENTRADA ]])</f>
        <v>0</v>
      </c>
      <c r="H43">
        <f>SUMIF(Tabla6[[#All],[CODIGO ]],Tabla4[[#This Row],[CODIGO ]],Tabla6[[#All],[SALIDA ]])</f>
        <v>2</v>
      </c>
      <c r="I43" s="3">
        <f>+Tabla4[[#This Row],[STOCK INICIAL]]+Tabla4[[#This Row],[ENTRADAS]]-Tabla4[[#This Row],[SALIDAS]]</f>
        <v>0</v>
      </c>
    </row>
    <row r="44" spans="2:9" x14ac:dyDescent="0.35">
      <c r="B44">
        <v>42</v>
      </c>
      <c r="C44" t="s">
        <v>125</v>
      </c>
      <c r="D44">
        <v>5</v>
      </c>
      <c r="E44" t="s">
        <v>38</v>
      </c>
      <c r="F44" t="s">
        <v>29</v>
      </c>
      <c r="G44">
        <f>+SUMIF(Tabla5[[#Headers],[#Data],[CODIGO ]],Tabla4[[#This Row],[CODIGO ]],Tabla5[[#Headers],[#Data],[ENTRADA ]])</f>
        <v>0</v>
      </c>
      <c r="H44">
        <f>SUMIF(Tabla6[[#All],[CODIGO ]],Tabla4[[#This Row],[CODIGO ]],Tabla6[[#All],[SALIDA ]])</f>
        <v>3</v>
      </c>
      <c r="I44" s="2">
        <f>+Tabla4[[#This Row],[STOCK INICIAL]]+Tabla4[[#This Row],[ENTRADAS]]-Tabla4[[#This Row],[SALIDAS]]</f>
        <v>2</v>
      </c>
    </row>
    <row r="45" spans="2:9" x14ac:dyDescent="0.35">
      <c r="B45">
        <v>43</v>
      </c>
      <c r="C45" t="s">
        <v>126</v>
      </c>
      <c r="D45">
        <v>2</v>
      </c>
      <c r="E45" t="s">
        <v>38</v>
      </c>
      <c r="F45" t="s">
        <v>29</v>
      </c>
      <c r="G45">
        <f>+SUMIF(Tabla5[[#Headers],[#Data],[CODIGO ]],Tabla4[[#This Row],[CODIGO ]],Tabla5[[#Headers],[#Data],[ENTRADA ]])</f>
        <v>0</v>
      </c>
      <c r="H45">
        <f>SUMIF(Tabla6[[#All],[CODIGO ]],Tabla4[[#This Row],[CODIGO ]],Tabla6[[#All],[SALIDA ]])</f>
        <v>1</v>
      </c>
      <c r="I45" s="2">
        <f>+Tabla4[[#This Row],[STOCK INICIAL]]+Tabla4[[#This Row],[ENTRADAS]]-Tabla4[[#This Row],[SALIDAS]]</f>
        <v>1</v>
      </c>
    </row>
    <row r="46" spans="2:9" x14ac:dyDescent="0.35">
      <c r="B46">
        <v>44</v>
      </c>
      <c r="C46" t="s">
        <v>142</v>
      </c>
      <c r="D46">
        <v>1</v>
      </c>
      <c r="E46" t="s">
        <v>38</v>
      </c>
      <c r="F46" t="s">
        <v>29</v>
      </c>
      <c r="G46">
        <f>+SUMIF(Tabla5[[#Headers],[#Data],[CODIGO ]],Tabla4[[#This Row],[CODIGO ]],Tabla5[[#Headers],[#Data],[ENTRADA ]])</f>
        <v>0</v>
      </c>
      <c r="H46">
        <f>SUMIF(Tabla6[[#All],[CODIGO ]],Tabla4[[#This Row],[CODIGO ]],Tabla6[[#All],[SALIDA ]])</f>
        <v>0</v>
      </c>
      <c r="I46" s="2">
        <f>+Tabla4[[#This Row],[STOCK INICIAL]]+Tabla4[[#This Row],[ENTRADAS]]-Tabla4[[#This Row],[SALIDAS]]</f>
        <v>1</v>
      </c>
    </row>
    <row r="47" spans="2:9" x14ac:dyDescent="0.35">
      <c r="B47">
        <v>45</v>
      </c>
      <c r="C47" t="s">
        <v>141</v>
      </c>
      <c r="D47">
        <v>1</v>
      </c>
      <c r="E47" t="s">
        <v>38</v>
      </c>
      <c r="F47" t="s">
        <v>29</v>
      </c>
      <c r="G47">
        <f>+SUMIF(Tabla5[[#Headers],[#Data],[CODIGO ]],Tabla4[[#This Row],[CODIGO ]],Tabla5[[#Headers],[#Data],[ENTRADA ]])</f>
        <v>0</v>
      </c>
      <c r="H47">
        <f>SUMIF(Tabla6[[#All],[CODIGO ]],Tabla4[[#This Row],[CODIGO ]],Tabla6[[#All],[SALIDA ]])</f>
        <v>0</v>
      </c>
      <c r="I47" s="2">
        <f>+Tabla4[[#This Row],[STOCK INICIAL]]+Tabla4[[#This Row],[ENTRADAS]]-Tabla4[[#This Row],[SALIDAS]]</f>
        <v>1</v>
      </c>
    </row>
    <row r="48" spans="2:9" x14ac:dyDescent="0.35">
      <c r="B48">
        <v>46</v>
      </c>
      <c r="C48" t="s">
        <v>140</v>
      </c>
      <c r="D48">
        <v>1</v>
      </c>
      <c r="E48" t="s">
        <v>38</v>
      </c>
      <c r="F48" t="s">
        <v>29</v>
      </c>
      <c r="G48">
        <f>+SUMIF(Tabla5[[#Headers],[#Data],[CODIGO ]],Tabla4[[#This Row],[CODIGO ]],Tabla5[[#Headers],[#Data],[ENTRADA ]])</f>
        <v>0</v>
      </c>
      <c r="H48">
        <f>SUMIF(Tabla6[[#All],[CODIGO ]],Tabla4[[#This Row],[CODIGO ]],Tabla6[[#All],[SALIDA ]])</f>
        <v>0</v>
      </c>
      <c r="I48" s="2">
        <f>+Tabla4[[#This Row],[STOCK INICIAL]]+Tabla4[[#This Row],[ENTRADAS]]-Tabla4[[#This Row],[SALIDAS]]</f>
        <v>1</v>
      </c>
    </row>
    <row r="49" spans="2:9" x14ac:dyDescent="0.35">
      <c r="B49">
        <v>47</v>
      </c>
      <c r="C49" t="s">
        <v>10</v>
      </c>
      <c r="D49">
        <v>15</v>
      </c>
      <c r="E49" t="s">
        <v>97</v>
      </c>
      <c r="F49" t="s">
        <v>29</v>
      </c>
      <c r="G49">
        <f>+SUMIF(Tabla5[[#Headers],[#Data],[CODIGO ]],Tabla4[[#This Row],[CODIGO ]],Tabla5[[#Headers],[#Data],[ENTRADA ]])</f>
        <v>0</v>
      </c>
      <c r="H49">
        <f>SUMIF(Tabla6[[#All],[CODIGO ]],Tabla4[[#This Row],[CODIGO ]],Tabla6[[#All],[SALIDA ]])</f>
        <v>0</v>
      </c>
      <c r="I49" s="2">
        <f>+Tabla4[[#This Row],[STOCK INICIAL]]+Tabla4[[#This Row],[ENTRADAS]]-Tabla4[[#This Row],[SALIDAS]]</f>
        <v>15</v>
      </c>
    </row>
    <row r="50" spans="2:9" x14ac:dyDescent="0.35">
      <c r="B50">
        <v>48</v>
      </c>
      <c r="C50" t="s">
        <v>109</v>
      </c>
      <c r="D50">
        <v>4</v>
      </c>
      <c r="E50" t="s">
        <v>110</v>
      </c>
      <c r="F50" t="s">
        <v>29</v>
      </c>
      <c r="G50">
        <f>+SUMIF(Tabla5[[#Headers],[#Data],[CODIGO ]],Tabla4[[#This Row],[CODIGO ]],Tabla5[[#Headers],[#Data],[ENTRADA ]])</f>
        <v>0</v>
      </c>
      <c r="H50">
        <f>SUMIF(Tabla6[[#All],[CODIGO ]],Tabla4[[#This Row],[CODIGO ]],Tabla6[[#All],[SALIDA ]])</f>
        <v>0</v>
      </c>
      <c r="I50" s="2">
        <f>+Tabla4[[#This Row],[STOCK INICIAL]]+Tabla4[[#This Row],[ENTRADAS]]-Tabla4[[#This Row],[SALIDAS]]</f>
        <v>4</v>
      </c>
    </row>
    <row r="51" spans="2:9" x14ac:dyDescent="0.35">
      <c r="B51">
        <v>49</v>
      </c>
      <c r="C51" t="s">
        <v>100</v>
      </c>
      <c r="D51">
        <v>1</v>
      </c>
      <c r="F51" t="s">
        <v>29</v>
      </c>
      <c r="G51">
        <f>+SUMIF(Tabla5[[#Headers],[#Data],[CODIGO ]],Tabla4[[#This Row],[CODIGO ]],Tabla5[[#Headers],[#Data],[ENTRADA ]])</f>
        <v>0</v>
      </c>
      <c r="H51">
        <f>SUMIF(Tabla6[[#All],[CODIGO ]],Tabla4[[#This Row],[CODIGO ]],Tabla6[[#All],[SALIDA ]])</f>
        <v>0</v>
      </c>
      <c r="I51" s="2">
        <f>+Tabla4[[#This Row],[STOCK INICIAL]]+Tabla4[[#This Row],[ENTRADAS]]-Tabla4[[#This Row],[SALIDAS]]</f>
        <v>1</v>
      </c>
    </row>
    <row r="52" spans="2:9" x14ac:dyDescent="0.35">
      <c r="B52">
        <v>50</v>
      </c>
      <c r="C52" t="s">
        <v>101</v>
      </c>
      <c r="D52">
        <v>10</v>
      </c>
      <c r="E52" t="s">
        <v>102</v>
      </c>
      <c r="F52" t="s">
        <v>29</v>
      </c>
      <c r="G52">
        <f>+SUMIF(Tabla5[[#Headers],[#Data],[CODIGO ]],Tabla4[[#This Row],[CODIGO ]],Tabla5[[#Headers],[#Data],[ENTRADA ]])</f>
        <v>0</v>
      </c>
      <c r="H52">
        <f>SUMIF(Tabla6[[#All],[CODIGO ]],Tabla4[[#This Row],[CODIGO ]],Tabla6[[#All],[SALIDA ]])</f>
        <v>0</v>
      </c>
      <c r="I52" s="2">
        <f>+Tabla4[[#This Row],[STOCK INICIAL]]+Tabla4[[#This Row],[ENTRADAS]]-Tabla4[[#This Row],[SALIDAS]]</f>
        <v>10</v>
      </c>
    </row>
    <row r="53" spans="2:9" x14ac:dyDescent="0.35">
      <c r="B53">
        <v>51</v>
      </c>
      <c r="C53" t="s">
        <v>119</v>
      </c>
      <c r="D53">
        <v>1</v>
      </c>
      <c r="E53" t="s">
        <v>38</v>
      </c>
      <c r="F53" t="s">
        <v>29</v>
      </c>
      <c r="G53">
        <f>+SUMIF(Tabla5[[#Headers],[#Data],[CODIGO ]],Tabla4[[#This Row],[CODIGO ]],Tabla5[[#Headers],[#Data],[ENTRADA ]])</f>
        <v>0</v>
      </c>
      <c r="H53">
        <f>SUMIF(Tabla6[[#All],[CODIGO ]],Tabla4[[#This Row],[CODIGO ]],Tabla6[[#All],[SALIDA ]])</f>
        <v>0</v>
      </c>
      <c r="I53" s="2">
        <f>+Tabla4[[#This Row],[STOCK INICIAL]]+Tabla4[[#This Row],[ENTRADAS]]-Tabla4[[#This Row],[SALIDAS]]</f>
        <v>1</v>
      </c>
    </row>
    <row r="54" spans="2:9" x14ac:dyDescent="0.35">
      <c r="B54">
        <v>52</v>
      </c>
      <c r="C54" t="s">
        <v>39</v>
      </c>
      <c r="D54">
        <v>19</v>
      </c>
      <c r="E54" t="s">
        <v>38</v>
      </c>
      <c r="F54" t="s">
        <v>29</v>
      </c>
      <c r="G54">
        <f>+SUMIF(Tabla5[[#Headers],[#Data],[CODIGO ]],Tabla4[[#This Row],[CODIGO ]],Tabla5[[#Headers],[#Data],[ENTRADA ]])</f>
        <v>0</v>
      </c>
      <c r="H54">
        <f>SUMIF(Tabla6[[#All],[CODIGO ]],Tabla4[[#This Row],[CODIGO ]],Tabla6[[#All],[SALIDA ]])</f>
        <v>0</v>
      </c>
      <c r="I54" s="2">
        <f>+Tabla4[[#This Row],[STOCK INICIAL]]+Tabla4[[#This Row],[ENTRADAS]]-Tabla4[[#This Row],[SALIDAS]]</f>
        <v>19</v>
      </c>
    </row>
    <row r="55" spans="2:9" x14ac:dyDescent="0.35">
      <c r="B55">
        <v>53</v>
      </c>
      <c r="C55" t="s">
        <v>60</v>
      </c>
      <c r="D55">
        <v>6</v>
      </c>
      <c r="E55" t="s">
        <v>33</v>
      </c>
      <c r="F55" t="s">
        <v>29</v>
      </c>
      <c r="G55">
        <f>+SUMIF(Tabla5[[#Headers],[#Data],[CODIGO ]],Tabla4[[#This Row],[CODIGO ]],Tabla5[[#Headers],[#Data],[ENTRADA ]])</f>
        <v>0</v>
      </c>
      <c r="H55">
        <f>SUMIF(Tabla6[[#All],[CODIGO ]],Tabla4[[#This Row],[CODIGO ]],Tabla6[[#All],[SALIDA ]])</f>
        <v>5</v>
      </c>
      <c r="I55" s="2">
        <f>+Tabla4[[#This Row],[STOCK INICIAL]]+Tabla4[[#This Row],[ENTRADAS]]-Tabla4[[#This Row],[SALIDAS]]</f>
        <v>1</v>
      </c>
    </row>
    <row r="56" spans="2:9" x14ac:dyDescent="0.35">
      <c r="B56">
        <v>54</v>
      </c>
      <c r="C56" t="s">
        <v>61</v>
      </c>
      <c r="D56">
        <v>7</v>
      </c>
      <c r="E56" t="s">
        <v>33</v>
      </c>
      <c r="F56" t="s">
        <v>29</v>
      </c>
      <c r="G56">
        <f>+SUMIF(Tabla5[[#Headers],[#Data],[CODIGO ]],Tabla4[[#This Row],[CODIGO ]],Tabla5[[#Headers],[#Data],[ENTRADA ]])</f>
        <v>0</v>
      </c>
      <c r="H56">
        <f>SUMIF(Tabla6[[#All],[CODIGO ]],Tabla4[[#This Row],[CODIGO ]],Tabla6[[#All],[SALIDA ]])</f>
        <v>0</v>
      </c>
      <c r="I56" s="2">
        <f>+Tabla4[[#This Row],[STOCK INICIAL]]+Tabla4[[#This Row],[ENTRADAS]]-Tabla4[[#This Row],[SALIDAS]]</f>
        <v>7</v>
      </c>
    </row>
    <row r="57" spans="2:9" x14ac:dyDescent="0.35">
      <c r="B57">
        <v>55</v>
      </c>
      <c r="C57" t="s">
        <v>62</v>
      </c>
      <c r="D57">
        <v>7</v>
      </c>
      <c r="E57" t="s">
        <v>33</v>
      </c>
      <c r="F57" t="s">
        <v>29</v>
      </c>
      <c r="G57">
        <f>+SUMIF(Tabla5[[#Headers],[#Data],[CODIGO ]],Tabla4[[#This Row],[CODIGO ]],Tabla5[[#Headers],[#Data],[ENTRADA ]])</f>
        <v>0</v>
      </c>
      <c r="H57">
        <f>SUMIF(Tabla6[[#All],[CODIGO ]],Tabla4[[#This Row],[CODIGO ]],Tabla6[[#All],[SALIDA ]])</f>
        <v>0</v>
      </c>
      <c r="I57" s="2">
        <f>+Tabla4[[#This Row],[STOCK INICIAL]]+Tabla4[[#This Row],[ENTRADAS]]-Tabla4[[#This Row],[SALIDAS]]</f>
        <v>7</v>
      </c>
    </row>
    <row r="58" spans="2:9" x14ac:dyDescent="0.35">
      <c r="B58">
        <v>56</v>
      </c>
      <c r="C58" t="s">
        <v>63</v>
      </c>
      <c r="D58">
        <v>6</v>
      </c>
      <c r="E58" t="s">
        <v>33</v>
      </c>
      <c r="F58" t="s">
        <v>29</v>
      </c>
      <c r="G58">
        <f>+SUMIF(Tabla5[[#Headers],[#Data],[CODIGO ]],Tabla4[[#This Row],[CODIGO ]],Tabla5[[#Headers],[#Data],[ENTRADA ]])</f>
        <v>0</v>
      </c>
      <c r="H58">
        <f>SUMIF(Tabla6[[#All],[CODIGO ]],Tabla4[[#This Row],[CODIGO ]],Tabla6[[#All],[SALIDA ]])</f>
        <v>0</v>
      </c>
      <c r="I58" s="2">
        <f>+Tabla4[[#This Row],[STOCK INICIAL]]+Tabla4[[#This Row],[ENTRADAS]]-Tabla4[[#This Row],[SALIDAS]]</f>
        <v>6</v>
      </c>
    </row>
    <row r="59" spans="2:9" x14ac:dyDescent="0.35">
      <c r="B59">
        <v>57</v>
      </c>
      <c r="C59" t="s">
        <v>64</v>
      </c>
      <c r="D59">
        <v>6</v>
      </c>
      <c r="E59" t="s">
        <v>33</v>
      </c>
      <c r="F59" t="s">
        <v>29</v>
      </c>
      <c r="G59">
        <f>+SUMIF(Tabla5[[#Headers],[#Data],[CODIGO ]],Tabla4[[#This Row],[CODIGO ]],Tabla5[[#Headers],[#Data],[ENTRADA ]])</f>
        <v>0</v>
      </c>
      <c r="H59">
        <f>SUMIF(Tabla6[[#All],[CODIGO ]],Tabla4[[#This Row],[CODIGO ]],Tabla6[[#All],[SALIDA ]])</f>
        <v>0</v>
      </c>
      <c r="I59" s="2">
        <f>+Tabla4[[#This Row],[STOCK INICIAL]]+Tabla4[[#This Row],[ENTRADAS]]-Tabla4[[#This Row],[SALIDAS]]</f>
        <v>6</v>
      </c>
    </row>
    <row r="60" spans="2:9" x14ac:dyDescent="0.35">
      <c r="B60">
        <v>58</v>
      </c>
      <c r="C60" t="s">
        <v>68</v>
      </c>
      <c r="D60">
        <v>16</v>
      </c>
      <c r="E60" t="s">
        <v>33</v>
      </c>
      <c r="F60" t="s">
        <v>29</v>
      </c>
      <c r="G60">
        <f>+SUMIF(Tabla5[[#Headers],[#Data],[CODIGO ]],Tabla4[[#This Row],[CODIGO ]],Tabla5[[#Headers],[#Data],[ENTRADA ]])</f>
        <v>0</v>
      </c>
      <c r="H60">
        <f>SUMIF(Tabla6[[#All],[CODIGO ]],Tabla4[[#This Row],[CODIGO ]],Tabla6[[#All],[SALIDA ]])</f>
        <v>0</v>
      </c>
      <c r="I60" s="2">
        <f>+Tabla4[[#This Row],[STOCK INICIAL]]+Tabla4[[#This Row],[ENTRADAS]]-Tabla4[[#This Row],[SALIDAS]]</f>
        <v>16</v>
      </c>
    </row>
    <row r="61" spans="2:9" x14ac:dyDescent="0.35">
      <c r="B61">
        <v>59</v>
      </c>
      <c r="C61" t="s">
        <v>15</v>
      </c>
      <c r="D61">
        <v>79</v>
      </c>
      <c r="E61" t="s">
        <v>38</v>
      </c>
      <c r="F61" t="s">
        <v>31</v>
      </c>
      <c r="G61">
        <f>+SUMIF(Tabla5[[#Headers],[#Data],[CODIGO ]],Tabla4[[#This Row],[CODIGO ]],Tabla5[[#Headers],[#Data],[ENTRADA ]])</f>
        <v>0</v>
      </c>
      <c r="H61">
        <f>SUMIF(Tabla6[[#All],[CODIGO ]],Tabla4[[#This Row],[CODIGO ]],Tabla6[[#All],[SALIDA ]])</f>
        <v>0</v>
      </c>
      <c r="I61" s="2">
        <f>+Tabla4[[#This Row],[STOCK INICIAL]]+Tabla4[[#This Row],[ENTRADAS]]-Tabla4[[#This Row],[SALIDAS]]</f>
        <v>79</v>
      </c>
    </row>
    <row r="62" spans="2:9" x14ac:dyDescent="0.35">
      <c r="B62">
        <v>60</v>
      </c>
      <c r="C62" t="s">
        <v>15</v>
      </c>
      <c r="D62">
        <v>15</v>
      </c>
      <c r="E62" t="s">
        <v>87</v>
      </c>
      <c r="F62" t="s">
        <v>31</v>
      </c>
      <c r="G62">
        <f>+SUMIF(Tabla5[[#Headers],[#Data],[CODIGO ]],Tabla4[[#This Row],[CODIGO ]],Tabla5[[#Headers],[#Data],[ENTRADA ]])</f>
        <v>0</v>
      </c>
      <c r="H62">
        <f>SUMIF(Tabla6[[#All],[CODIGO ]],Tabla4[[#This Row],[CODIGO ]],Tabla6[[#All],[SALIDA ]])</f>
        <v>0</v>
      </c>
      <c r="I62" s="2">
        <f>+Tabla4[[#This Row],[STOCK INICIAL]]+Tabla4[[#This Row],[ENTRADAS]]-Tabla4[[#This Row],[SALIDAS]]</f>
        <v>15</v>
      </c>
    </row>
    <row r="63" spans="2:9" x14ac:dyDescent="0.35">
      <c r="B63">
        <v>61</v>
      </c>
      <c r="C63" t="s">
        <v>143</v>
      </c>
      <c r="D63">
        <v>4</v>
      </c>
      <c r="E63" t="s">
        <v>144</v>
      </c>
      <c r="F63" t="s">
        <v>31</v>
      </c>
      <c r="G63">
        <f>+SUMIF(Tabla5[[#Headers],[#Data],[CODIGO ]],Tabla4[[#This Row],[CODIGO ]],Tabla5[[#Headers],[#Data],[ENTRADA ]])</f>
        <v>0</v>
      </c>
      <c r="H63">
        <f>SUMIF(Tabla6[[#All],[CODIGO ]],Tabla4[[#This Row],[CODIGO ]],Tabla6[[#All],[SALIDA ]])</f>
        <v>0</v>
      </c>
      <c r="I63" s="2">
        <f>+Tabla4[[#This Row],[STOCK INICIAL]]+Tabla4[[#This Row],[ENTRADAS]]-Tabla4[[#This Row],[SALIDAS]]</f>
        <v>4</v>
      </c>
    </row>
    <row r="64" spans="2:9" x14ac:dyDescent="0.35">
      <c r="B64">
        <v>62</v>
      </c>
      <c r="C64" t="s">
        <v>81</v>
      </c>
      <c r="D64">
        <v>9</v>
      </c>
      <c r="E64" t="s">
        <v>82</v>
      </c>
      <c r="F64" t="s">
        <v>31</v>
      </c>
      <c r="G64">
        <f>+SUMIF(Tabla5[[#Headers],[#Data],[CODIGO ]],Tabla4[[#This Row],[CODIGO ]],Tabla5[[#Headers],[#Data],[ENTRADA ]])</f>
        <v>0</v>
      </c>
      <c r="H64">
        <f>SUMIF(Tabla6[[#All],[CODIGO ]],Tabla4[[#This Row],[CODIGO ]],Tabla6[[#All],[SALIDA ]])</f>
        <v>0</v>
      </c>
      <c r="I64" s="2">
        <f>+Tabla4[[#This Row],[STOCK INICIAL]]+Tabla4[[#This Row],[ENTRADAS]]-Tabla4[[#This Row],[SALIDAS]]</f>
        <v>9</v>
      </c>
    </row>
    <row r="65" spans="2:9" x14ac:dyDescent="0.35">
      <c r="B65">
        <v>63</v>
      </c>
      <c r="C65" t="s">
        <v>88</v>
      </c>
      <c r="D65">
        <v>2</v>
      </c>
      <c r="E65" t="s">
        <v>76</v>
      </c>
      <c r="F65" t="s">
        <v>31</v>
      </c>
      <c r="G65">
        <f>+SUMIF(Tabla5[[#Headers],[#Data],[CODIGO ]],Tabla4[[#This Row],[CODIGO ]],Tabla5[[#Headers],[#Data],[ENTRADA ]])</f>
        <v>0</v>
      </c>
      <c r="H65">
        <f>SUMIF(Tabla6[[#All],[CODIGO ]],Tabla4[[#This Row],[CODIGO ]],Tabla6[[#All],[SALIDA ]])</f>
        <v>2</v>
      </c>
      <c r="I65" s="2">
        <f>+Tabla4[[#This Row],[STOCK INICIAL]]+Tabla4[[#This Row],[ENTRADAS]]-Tabla4[[#This Row],[SALIDAS]]</f>
        <v>0</v>
      </c>
    </row>
    <row r="66" spans="2:9" x14ac:dyDescent="0.35">
      <c r="B66">
        <v>64</v>
      </c>
      <c r="C66" t="s">
        <v>74</v>
      </c>
      <c r="D66">
        <v>12</v>
      </c>
      <c r="E66" t="s">
        <v>38</v>
      </c>
      <c r="F66" t="s">
        <v>31</v>
      </c>
      <c r="G66">
        <f>+SUMIF(Tabla5[[#Headers],[#Data],[CODIGO ]],Tabla4[[#This Row],[CODIGO ]],Tabla5[[#Headers],[#Data],[ENTRADA ]])</f>
        <v>0</v>
      </c>
      <c r="H66">
        <f>SUMIF(Tabla6[[#All],[CODIGO ]],Tabla4[[#This Row],[CODIGO ]],Tabla6[[#All],[SALIDA ]])</f>
        <v>5</v>
      </c>
      <c r="I66" s="2">
        <f>+Tabla4[[#This Row],[STOCK INICIAL]]+Tabla4[[#This Row],[ENTRADAS]]-Tabla4[[#This Row],[SALIDAS]]</f>
        <v>7</v>
      </c>
    </row>
    <row r="67" spans="2:9" x14ac:dyDescent="0.35">
      <c r="B67">
        <v>65</v>
      </c>
      <c r="C67" t="s">
        <v>75</v>
      </c>
      <c r="D67">
        <v>45</v>
      </c>
      <c r="E67" t="s">
        <v>38</v>
      </c>
      <c r="F67" t="s">
        <v>31</v>
      </c>
      <c r="G67">
        <f>+SUMIF(Tabla5[[#Headers],[#Data],[CODIGO ]],Tabla4[[#This Row],[CODIGO ]],Tabla5[[#Headers],[#Data],[ENTRADA ]])</f>
        <v>0</v>
      </c>
      <c r="H67">
        <f>SUMIF(Tabla6[[#All],[CODIGO ]],Tabla4[[#This Row],[CODIGO ]],Tabla6[[#All],[SALIDA ]])</f>
        <v>1</v>
      </c>
      <c r="I67" s="2">
        <f>+Tabla4[[#This Row],[STOCK INICIAL]]+Tabla4[[#This Row],[ENTRADAS]]-Tabla4[[#This Row],[SALIDAS]]</f>
        <v>44</v>
      </c>
    </row>
    <row r="68" spans="2:9" x14ac:dyDescent="0.35">
      <c r="B68">
        <v>66</v>
      </c>
      <c r="C68" t="s">
        <v>72</v>
      </c>
      <c r="D68">
        <v>43</v>
      </c>
      <c r="E68" t="s">
        <v>71</v>
      </c>
      <c r="F68" t="s">
        <v>31</v>
      </c>
      <c r="G68">
        <f>+SUMIF(Tabla5[[#Headers],[#Data],[CODIGO ]],Tabla4[[#This Row],[CODIGO ]],Tabla5[[#Headers],[#Data],[ENTRADA ]])</f>
        <v>0</v>
      </c>
      <c r="H68">
        <f>SUMIF(Tabla6[[#All],[CODIGO ]],Tabla4[[#This Row],[CODIGO ]],Tabla6[[#All],[SALIDA ]])</f>
        <v>10</v>
      </c>
      <c r="I68" s="2">
        <f>+Tabla4[[#This Row],[STOCK INICIAL]]+Tabla4[[#This Row],[ENTRADAS]]-Tabla4[[#This Row],[SALIDAS]]</f>
        <v>33</v>
      </c>
    </row>
    <row r="69" spans="2:9" x14ac:dyDescent="0.35">
      <c r="B69">
        <v>67</v>
      </c>
      <c r="C69" t="s">
        <v>73</v>
      </c>
      <c r="D69">
        <v>30</v>
      </c>
      <c r="E69" t="s">
        <v>71</v>
      </c>
      <c r="F69" t="s">
        <v>31</v>
      </c>
      <c r="G69">
        <f>+SUMIF(Tabla5[[#Headers],[#Data],[CODIGO ]],Tabla4[[#This Row],[CODIGO ]],Tabla5[[#Headers],[#Data],[ENTRADA ]])</f>
        <v>0</v>
      </c>
      <c r="H69">
        <f>SUMIF(Tabla6[[#All],[CODIGO ]],Tabla4[[#This Row],[CODIGO ]],Tabla6[[#All],[SALIDA ]])</f>
        <v>10</v>
      </c>
      <c r="I69" s="2">
        <f>+Tabla4[[#This Row],[STOCK INICIAL]]+Tabla4[[#This Row],[ENTRADAS]]-Tabla4[[#This Row],[SALIDAS]]</f>
        <v>20</v>
      </c>
    </row>
    <row r="70" spans="2:9" x14ac:dyDescent="0.35">
      <c r="B70">
        <v>68</v>
      </c>
      <c r="C70" t="s">
        <v>84</v>
      </c>
      <c r="D70">
        <v>23</v>
      </c>
      <c r="E70" t="s">
        <v>83</v>
      </c>
      <c r="F70" t="s">
        <v>31</v>
      </c>
      <c r="G70">
        <f>+SUMIF(Tabla5[[#Headers],[#Data],[CODIGO ]],Tabla4[[#This Row],[CODIGO ]],Tabla5[[#Headers],[#Data],[ENTRADA ]])</f>
        <v>0</v>
      </c>
      <c r="H70">
        <f>SUMIF(Tabla6[[#All],[CODIGO ]],Tabla4[[#This Row],[CODIGO ]],Tabla6[[#All],[SALIDA ]])</f>
        <v>4</v>
      </c>
      <c r="I70" s="2">
        <f>+Tabla4[[#This Row],[STOCK INICIAL]]+Tabla4[[#This Row],[ENTRADAS]]-Tabla4[[#This Row],[SALIDAS]]</f>
        <v>19</v>
      </c>
    </row>
    <row r="71" spans="2:9" x14ac:dyDescent="0.35">
      <c r="B71">
        <v>69</v>
      </c>
      <c r="C71" t="s">
        <v>85</v>
      </c>
      <c r="D71">
        <v>1</v>
      </c>
      <c r="E71" t="s">
        <v>86</v>
      </c>
      <c r="F71" t="s">
        <v>31</v>
      </c>
      <c r="G71">
        <f>+SUMIF(Tabla5[[#Headers],[#Data],[CODIGO ]],Tabla4[[#This Row],[CODIGO ]],Tabla5[[#Headers],[#Data],[ENTRADA ]])</f>
        <v>0</v>
      </c>
      <c r="H71">
        <f>SUMIF(Tabla6[[#All],[CODIGO ]],Tabla4[[#This Row],[CODIGO ]],Tabla6[[#All],[SALIDA ]])</f>
        <v>0</v>
      </c>
      <c r="I71" s="2">
        <f>+Tabla4[[#This Row],[STOCK INICIAL]]+Tabla4[[#This Row],[ENTRADAS]]-Tabla4[[#This Row],[SALIDAS]]</f>
        <v>1</v>
      </c>
    </row>
    <row r="72" spans="2:9" x14ac:dyDescent="0.35">
      <c r="B72">
        <v>70</v>
      </c>
      <c r="C72" t="s">
        <v>7</v>
      </c>
      <c r="D72">
        <v>10</v>
      </c>
      <c r="E72" t="s">
        <v>41</v>
      </c>
      <c r="F72" t="s">
        <v>30</v>
      </c>
      <c r="G72">
        <f>+SUMIF(Tabla5[[#Headers],[#Data],[CODIGO ]],Tabla4[[#This Row],[CODIGO ]],Tabla5[[#Headers],[#Data],[ENTRADA ]])</f>
        <v>0</v>
      </c>
      <c r="H72">
        <f>SUMIF(Tabla6[[#All],[CODIGO ]],Tabla4[[#This Row],[CODIGO ]],Tabla6[[#All],[SALIDA ]])</f>
        <v>0</v>
      </c>
      <c r="I72" s="2">
        <f>+Tabla4[[#This Row],[STOCK INICIAL]]+Tabla4[[#This Row],[ENTRADAS]]-Tabla4[[#This Row],[SALIDAS]]</f>
        <v>10</v>
      </c>
    </row>
    <row r="73" spans="2:9" x14ac:dyDescent="0.35">
      <c r="B73">
        <v>71</v>
      </c>
      <c r="C73" t="s">
        <v>8</v>
      </c>
      <c r="D73">
        <v>6</v>
      </c>
      <c r="E73" t="s">
        <v>38</v>
      </c>
      <c r="F73" t="s">
        <v>30</v>
      </c>
      <c r="G73">
        <f>+SUMIF(Tabla5[[#Headers],[#Data],[CODIGO ]],Tabla4[[#This Row],[CODIGO ]],Tabla5[[#Headers],[#Data],[ENTRADA ]])</f>
        <v>0</v>
      </c>
      <c r="H73">
        <f>SUMIF(Tabla6[[#All],[CODIGO ]],Tabla4[[#This Row],[CODIGO ]],Tabla6[[#All],[SALIDA ]])</f>
        <v>0</v>
      </c>
      <c r="I73" s="2">
        <f>+Tabla4[[#This Row],[STOCK INICIAL]]+Tabla4[[#This Row],[ENTRADAS]]-Tabla4[[#This Row],[SALIDAS]]</f>
        <v>6</v>
      </c>
    </row>
    <row r="74" spans="2:9" x14ac:dyDescent="0.35">
      <c r="B74">
        <v>72</v>
      </c>
      <c r="C74" t="s">
        <v>16</v>
      </c>
      <c r="D74">
        <v>16</v>
      </c>
      <c r="E74" t="s">
        <v>38</v>
      </c>
      <c r="F74" t="s">
        <v>29</v>
      </c>
      <c r="G74">
        <f>+SUMIF(Tabla5[[#Headers],[#Data],[CODIGO ]],Tabla4[[#This Row],[CODIGO ]],Tabla5[[#Headers],[#Data],[ENTRADA ]])</f>
        <v>0</v>
      </c>
      <c r="H74">
        <f>SUMIF(Tabla6[[#All],[CODIGO ]],Tabla4[[#This Row],[CODIGO ]],Tabla6[[#All],[SALIDA ]])</f>
        <v>0</v>
      </c>
      <c r="I74" s="2">
        <f>+Tabla4[[#This Row],[STOCK INICIAL]]+Tabla4[[#This Row],[ENTRADAS]]-Tabla4[[#This Row],[SALIDAS]]</f>
        <v>16</v>
      </c>
    </row>
    <row r="75" spans="2:9" x14ac:dyDescent="0.35">
      <c r="B75">
        <v>73</v>
      </c>
      <c r="C75" t="s">
        <v>16</v>
      </c>
      <c r="D75">
        <v>1</v>
      </c>
      <c r="E75" t="s">
        <v>116</v>
      </c>
      <c r="F75" t="s">
        <v>29</v>
      </c>
      <c r="G75">
        <f>+SUMIF(Tabla5[[#Headers],[#Data],[CODIGO ]],Tabla4[[#This Row],[CODIGO ]],Tabla5[[#Headers],[#Data],[ENTRADA ]])</f>
        <v>0</v>
      </c>
      <c r="H75">
        <f>SUMIF(Tabla6[[#All],[CODIGO ]],Tabla4[[#This Row],[CODIGO ]],Tabla6[[#All],[SALIDA ]])</f>
        <v>0</v>
      </c>
      <c r="I75" s="2">
        <f>+Tabla4[[#This Row],[STOCK INICIAL]]+Tabla4[[#This Row],[ENTRADAS]]-Tabla4[[#This Row],[SALIDAS]]</f>
        <v>1</v>
      </c>
    </row>
    <row r="76" spans="2:9" x14ac:dyDescent="0.35">
      <c r="B76">
        <v>74</v>
      </c>
      <c r="C76" t="s">
        <v>16</v>
      </c>
      <c r="D76">
        <v>1</v>
      </c>
      <c r="E76" t="s">
        <v>44</v>
      </c>
      <c r="F76" t="s">
        <v>29</v>
      </c>
      <c r="G76">
        <f>+SUMIF(Tabla5[[#Headers],[#Data],[CODIGO ]],Tabla4[[#This Row],[CODIGO ]],Tabla5[[#Headers],[#Data],[ENTRADA ]])</f>
        <v>0</v>
      </c>
      <c r="H76">
        <f>SUMIF(Tabla6[[#All],[CODIGO ]],Tabla4[[#This Row],[CODIGO ]],Tabla6[[#All],[SALIDA ]])</f>
        <v>0</v>
      </c>
      <c r="I76" s="2">
        <f>+Tabla4[[#This Row],[STOCK INICIAL]]+Tabla4[[#This Row],[ENTRADAS]]-Tabla4[[#This Row],[SALIDAS]]</f>
        <v>1</v>
      </c>
    </row>
    <row r="77" spans="2:9" x14ac:dyDescent="0.35">
      <c r="B77">
        <v>75</v>
      </c>
      <c r="C77" t="s">
        <v>117</v>
      </c>
      <c r="D77">
        <v>9</v>
      </c>
      <c r="E77" t="s">
        <v>118</v>
      </c>
      <c r="F77" t="s">
        <v>29</v>
      </c>
      <c r="G77">
        <f>+SUMIF(Tabla5[[#Headers],[#Data],[CODIGO ]],Tabla4[[#This Row],[CODIGO ]],Tabla5[[#Headers],[#Data],[ENTRADA ]])</f>
        <v>0</v>
      </c>
      <c r="H77">
        <f>SUMIF(Tabla6[[#All],[CODIGO ]],Tabla4[[#This Row],[CODIGO ]],Tabla6[[#All],[SALIDA ]])</f>
        <v>0</v>
      </c>
      <c r="I77" s="2">
        <f>+Tabla4[[#This Row],[STOCK INICIAL]]+Tabla4[[#This Row],[ENTRADAS]]-Tabla4[[#This Row],[SALIDAS]]</f>
        <v>9</v>
      </c>
    </row>
    <row r="78" spans="2:9" x14ac:dyDescent="0.35">
      <c r="B78">
        <v>76</v>
      </c>
      <c r="C78" t="s">
        <v>93</v>
      </c>
      <c r="D78">
        <v>2</v>
      </c>
      <c r="E78" t="s">
        <v>38</v>
      </c>
      <c r="F78" t="s">
        <v>29</v>
      </c>
      <c r="G78">
        <f>+SUMIF(Tabla5[[#Headers],[#Data],[CODIGO ]],Tabla4[[#This Row],[CODIGO ]],Tabla5[[#Headers],[#Data],[ENTRADA ]])</f>
        <v>0</v>
      </c>
      <c r="H78">
        <f>SUMIF(Tabla6[[#All],[CODIGO ]],Tabla4[[#This Row],[CODIGO ]],Tabla6[[#All],[SALIDA ]])</f>
        <v>0</v>
      </c>
      <c r="I78" s="2">
        <f>+Tabla4[[#This Row],[STOCK INICIAL]]+Tabla4[[#This Row],[ENTRADAS]]-Tabla4[[#This Row],[SALIDAS]]</f>
        <v>2</v>
      </c>
    </row>
    <row r="79" spans="2:9" x14ac:dyDescent="0.35">
      <c r="B79">
        <v>77</v>
      </c>
      <c r="C79" t="s">
        <v>94</v>
      </c>
      <c r="D79">
        <v>7</v>
      </c>
      <c r="E79" t="s">
        <v>38</v>
      </c>
      <c r="F79" t="s">
        <v>29</v>
      </c>
      <c r="G79">
        <f>+SUMIF(Tabla5[[#Headers],[#Data],[CODIGO ]],Tabla4[[#This Row],[CODIGO ]],Tabla5[[#Headers],[#Data],[ENTRADA ]])</f>
        <v>0</v>
      </c>
      <c r="H79">
        <f>SUMIF(Tabla6[[#All],[CODIGO ]],Tabla4[[#This Row],[CODIGO ]],Tabla6[[#All],[SALIDA ]])</f>
        <v>1</v>
      </c>
      <c r="I79" s="2">
        <f>+Tabla4[[#This Row],[STOCK INICIAL]]+Tabla4[[#This Row],[ENTRADAS]]-Tabla4[[#This Row],[SALIDAS]]</f>
        <v>6</v>
      </c>
    </row>
    <row r="80" spans="2:9" x14ac:dyDescent="0.35">
      <c r="B80">
        <v>78</v>
      </c>
      <c r="C80" t="s">
        <v>95</v>
      </c>
      <c r="D80">
        <v>9</v>
      </c>
      <c r="E80" t="s">
        <v>38</v>
      </c>
      <c r="F80" t="s">
        <v>29</v>
      </c>
      <c r="G80">
        <f>+SUMIF(Tabla5[[#Headers],[#Data],[CODIGO ]],Tabla4[[#This Row],[CODIGO ]],Tabla5[[#Headers],[#Data],[ENTRADA ]])</f>
        <v>0</v>
      </c>
      <c r="H80">
        <f>SUMIF(Tabla6[[#All],[CODIGO ]],Tabla4[[#This Row],[CODIGO ]],Tabla6[[#All],[SALIDA ]])</f>
        <v>2</v>
      </c>
      <c r="I80" s="2">
        <f>+Tabla4[[#This Row],[STOCK INICIAL]]+Tabla4[[#This Row],[ENTRADAS]]-Tabla4[[#This Row],[SALIDAS]]</f>
        <v>7</v>
      </c>
    </row>
    <row r="81" spans="2:9" x14ac:dyDescent="0.35">
      <c r="B81">
        <v>79</v>
      </c>
      <c r="C81" t="s">
        <v>89</v>
      </c>
      <c r="D81">
        <v>135</v>
      </c>
      <c r="E81" t="s">
        <v>38</v>
      </c>
      <c r="F81" t="s">
        <v>29</v>
      </c>
      <c r="G81">
        <f>+SUMIF(Tabla5[[#Headers],[#Data],[CODIGO ]],Tabla4[[#This Row],[CODIGO ]],Tabla5[[#Headers],[#Data],[ENTRADA ]])</f>
        <v>0</v>
      </c>
      <c r="H81">
        <f>SUMIF(Tabla6[[#All],[CODIGO ]],Tabla4[[#This Row],[CODIGO ]],Tabla6[[#All],[SALIDA ]])</f>
        <v>1</v>
      </c>
      <c r="I81" s="2">
        <f>+Tabla4[[#This Row],[STOCK INICIAL]]+Tabla4[[#This Row],[ENTRADAS]]-Tabla4[[#This Row],[SALIDAS]]</f>
        <v>134</v>
      </c>
    </row>
    <row r="82" spans="2:9" x14ac:dyDescent="0.35">
      <c r="B82">
        <v>80</v>
      </c>
      <c r="C82" t="s">
        <v>96</v>
      </c>
      <c r="D82">
        <v>9</v>
      </c>
      <c r="E82" t="s">
        <v>44</v>
      </c>
      <c r="F82" t="s">
        <v>29</v>
      </c>
      <c r="G82">
        <f>+SUMIF(Tabla5[[#Headers],[#Data],[CODIGO ]],Tabla4[[#This Row],[CODIGO ]],Tabla5[[#Headers],[#Data],[ENTRADA ]])</f>
        <v>0</v>
      </c>
      <c r="H82">
        <f>SUMIF(Tabla6[[#All],[CODIGO ]],Tabla4[[#This Row],[CODIGO ]],Tabla6[[#All],[SALIDA ]])</f>
        <v>1</v>
      </c>
      <c r="I82" s="2">
        <f>+Tabla4[[#This Row],[STOCK INICIAL]]+Tabla4[[#This Row],[ENTRADAS]]-Tabla4[[#This Row],[SALIDAS]]</f>
        <v>8</v>
      </c>
    </row>
    <row r="83" spans="2:9" x14ac:dyDescent="0.35">
      <c r="B83">
        <v>81</v>
      </c>
      <c r="C83" t="s">
        <v>90</v>
      </c>
      <c r="D83">
        <v>142</v>
      </c>
      <c r="E83" t="s">
        <v>91</v>
      </c>
      <c r="F83" t="s">
        <v>29</v>
      </c>
      <c r="G83">
        <f>+SUMIF(Tabla5[[#Headers],[#Data],[CODIGO ]],Tabla4[[#This Row],[CODIGO ]],Tabla5[[#Headers],[#Data],[ENTRADA ]])</f>
        <v>0</v>
      </c>
      <c r="H83">
        <f>SUMIF(Tabla6[[#All],[CODIGO ]],Tabla4[[#This Row],[CODIGO ]],Tabla6[[#All],[SALIDA ]])</f>
        <v>16</v>
      </c>
      <c r="I83" s="2">
        <f>+Tabla4[[#This Row],[STOCK INICIAL]]+Tabla4[[#This Row],[ENTRADAS]]-Tabla4[[#This Row],[SALIDAS]]</f>
        <v>126</v>
      </c>
    </row>
    <row r="84" spans="2:9" x14ac:dyDescent="0.35">
      <c r="B84">
        <v>82</v>
      </c>
      <c r="C84" t="s">
        <v>145</v>
      </c>
      <c r="D84">
        <v>4</v>
      </c>
      <c r="E84" t="s">
        <v>107</v>
      </c>
      <c r="F84" t="s">
        <v>29</v>
      </c>
      <c r="G84">
        <f>+SUMIF(Tabla5[[#Headers],[#Data],[CODIGO ]],Tabla4[[#This Row],[CODIGO ]],Tabla5[[#Headers],[#Data],[ENTRADA ]])</f>
        <v>0</v>
      </c>
      <c r="H84">
        <f>SUMIF(Tabla6[[#All],[CODIGO ]],Tabla4[[#This Row],[CODIGO ]],Tabla6[[#All],[SALIDA ]])</f>
        <v>0</v>
      </c>
      <c r="I84" s="2">
        <f>+Tabla4[[#This Row],[STOCK INICIAL]]+Tabla4[[#This Row],[ENTRADAS]]-Tabla4[[#This Row],[SALIDAS]]</f>
        <v>4</v>
      </c>
    </row>
    <row r="85" spans="2:9" x14ac:dyDescent="0.35">
      <c r="B85">
        <v>83</v>
      </c>
      <c r="C85" t="s">
        <v>59</v>
      </c>
      <c r="D85">
        <v>7</v>
      </c>
      <c r="E85" t="s">
        <v>38</v>
      </c>
      <c r="F85" t="s">
        <v>29</v>
      </c>
      <c r="G85">
        <f>+SUMIF(Tabla5[[#Headers],[#Data],[CODIGO ]],Tabla4[[#This Row],[CODIGO ]],Tabla5[[#Headers],[#Data],[ENTRADA ]])</f>
        <v>0</v>
      </c>
      <c r="H85">
        <f>SUMIF(Tabla6[[#All],[CODIGO ]],Tabla4[[#This Row],[CODIGO ]],Tabla6[[#All],[SALIDA ]])</f>
        <v>0</v>
      </c>
      <c r="I85" s="2">
        <f>+Tabla4[[#This Row],[STOCK INICIAL]]+Tabla4[[#This Row],[ENTRADAS]]-Tabla4[[#This Row],[SALIDAS]]</f>
        <v>7</v>
      </c>
    </row>
    <row r="86" spans="2:9" x14ac:dyDescent="0.35">
      <c r="B86">
        <v>84</v>
      </c>
      <c r="C86" t="s">
        <v>77</v>
      </c>
      <c r="D86">
        <v>18</v>
      </c>
      <c r="E86" t="s">
        <v>78</v>
      </c>
      <c r="F86" t="s">
        <v>29</v>
      </c>
      <c r="G86">
        <f>+SUMIF(Tabla5[[#Headers],[#Data],[CODIGO ]],Tabla4[[#This Row],[CODIGO ]],Tabla5[[#Headers],[#Data],[ENTRADA ]])</f>
        <v>0</v>
      </c>
      <c r="H86">
        <f>SUMIF(Tabla6[[#All],[CODIGO ]],Tabla4[[#This Row],[CODIGO ]],Tabla6[[#All],[SALIDA ]])</f>
        <v>0</v>
      </c>
      <c r="I86" s="2">
        <f>+Tabla4[[#This Row],[STOCK INICIAL]]+Tabla4[[#This Row],[ENTRADAS]]-Tabla4[[#This Row],[SALIDAS]]</f>
        <v>18</v>
      </c>
    </row>
    <row r="87" spans="2:9" x14ac:dyDescent="0.35">
      <c r="B87">
        <v>85</v>
      </c>
      <c r="C87" t="s">
        <v>123</v>
      </c>
      <c r="D87">
        <v>1</v>
      </c>
      <c r="E87" t="s">
        <v>124</v>
      </c>
      <c r="F87" t="s">
        <v>29</v>
      </c>
      <c r="G87">
        <f>+SUMIF(Tabla5[[#Headers],[#Data],[CODIGO ]],Tabla4[[#This Row],[CODIGO ]],Tabla5[[#Headers],[#Data],[ENTRADA ]])</f>
        <v>0</v>
      </c>
      <c r="H87">
        <f>SUMIF(Tabla6[[#All],[CODIGO ]],Tabla4[[#This Row],[CODIGO ]],Tabla6[[#All],[SALIDA ]])</f>
        <v>0</v>
      </c>
      <c r="I87" s="2">
        <f>+Tabla4[[#This Row],[STOCK INICIAL]]+Tabla4[[#This Row],[ENTRADAS]]-Tabla4[[#This Row],[SALIDAS]]</f>
        <v>1</v>
      </c>
    </row>
    <row r="88" spans="2:9" x14ac:dyDescent="0.35">
      <c r="B88">
        <v>86</v>
      </c>
      <c r="C88" t="s">
        <v>120</v>
      </c>
      <c r="D88">
        <v>5</v>
      </c>
      <c r="E88" t="s">
        <v>118</v>
      </c>
      <c r="F88" t="s">
        <v>29</v>
      </c>
      <c r="G88">
        <f>+SUMIF(Tabla5[[#Headers],[#Data],[CODIGO ]],Tabla4[[#This Row],[CODIGO ]],Tabla5[[#Headers],[#Data],[ENTRADA ]])</f>
        <v>0</v>
      </c>
      <c r="H88">
        <f>SUMIF(Tabla6[[#All],[CODIGO ]],Tabla4[[#This Row],[CODIGO ]],Tabla6[[#All],[SALIDA ]])</f>
        <v>0</v>
      </c>
      <c r="I88" s="2">
        <f>+Tabla4[[#This Row],[STOCK INICIAL]]+Tabla4[[#This Row],[ENTRADAS]]-Tabla4[[#This Row],[SALIDAS]]</f>
        <v>5</v>
      </c>
    </row>
    <row r="89" spans="2:9" x14ac:dyDescent="0.35">
      <c r="B89">
        <v>87</v>
      </c>
      <c r="C89" t="s">
        <v>122</v>
      </c>
      <c r="D89">
        <v>2</v>
      </c>
      <c r="E89" t="s">
        <v>118</v>
      </c>
      <c r="F89" t="s">
        <v>29</v>
      </c>
      <c r="G89">
        <f>+SUMIF(Tabla5[[#Headers],[#Data],[CODIGO ]],Tabla4[[#This Row],[CODIGO ]],Tabla5[[#Headers],[#Data],[ENTRADA ]])</f>
        <v>0</v>
      </c>
      <c r="H89">
        <f>SUMIF(Tabla6[[#All],[CODIGO ]],Tabla4[[#This Row],[CODIGO ]],Tabla6[[#All],[SALIDA ]])</f>
        <v>0</v>
      </c>
      <c r="I89" s="2">
        <f>+Tabla4[[#This Row],[STOCK INICIAL]]+Tabla4[[#This Row],[ENTRADAS]]-Tabla4[[#This Row],[SALIDAS]]</f>
        <v>2</v>
      </c>
    </row>
    <row r="90" spans="2:9" x14ac:dyDescent="0.35">
      <c r="B90">
        <v>88</v>
      </c>
      <c r="C90" t="s">
        <v>121</v>
      </c>
      <c r="D90">
        <v>6</v>
      </c>
      <c r="E90" t="s">
        <v>118</v>
      </c>
      <c r="F90" t="s">
        <v>29</v>
      </c>
      <c r="G90">
        <f>+SUMIF(Tabla5[[#Headers],[#Data],[CODIGO ]],Tabla4[[#This Row],[CODIGO ]],Tabla5[[#Headers],[#Data],[ENTRADA ]])</f>
        <v>0</v>
      </c>
      <c r="H90">
        <f>SUMIF(Tabla6[[#All],[CODIGO ]],Tabla4[[#This Row],[CODIGO ]],Tabla6[[#All],[SALIDA ]])</f>
        <v>0</v>
      </c>
      <c r="I90" s="2">
        <f>+Tabla4[[#This Row],[STOCK INICIAL]]+Tabla4[[#This Row],[ENTRADAS]]-Tabla4[[#This Row],[SALIDAS]]</f>
        <v>6</v>
      </c>
    </row>
    <row r="91" spans="2:9" x14ac:dyDescent="0.35">
      <c r="B91">
        <v>89</v>
      </c>
      <c r="C91" t="s">
        <v>131</v>
      </c>
      <c r="D91">
        <v>2</v>
      </c>
      <c r="E91" t="s">
        <v>118</v>
      </c>
      <c r="F91" t="s">
        <v>29</v>
      </c>
      <c r="G91">
        <f>+SUMIF(Tabla5[[#Headers],[#Data],[CODIGO ]],Tabla4[[#This Row],[CODIGO ]],Tabla5[[#Headers],[#Data],[ENTRADA ]])</f>
        <v>0</v>
      </c>
      <c r="H91">
        <f>SUMIF(Tabla6[[#All],[CODIGO ]],Tabla4[[#This Row],[CODIGO ]],Tabla6[[#All],[SALIDA ]])</f>
        <v>0</v>
      </c>
      <c r="I91" s="2">
        <f>+Tabla4[[#This Row],[STOCK INICIAL]]+Tabla4[[#This Row],[ENTRADAS]]-Tabla4[[#This Row],[SALIDAS]]</f>
        <v>2</v>
      </c>
    </row>
    <row r="92" spans="2:9" x14ac:dyDescent="0.35">
      <c r="B92">
        <v>90</v>
      </c>
      <c r="C92" t="s">
        <v>132</v>
      </c>
      <c r="D92">
        <v>1</v>
      </c>
      <c r="E92" t="s">
        <v>38</v>
      </c>
      <c r="F92" t="s">
        <v>29</v>
      </c>
      <c r="G92">
        <f>+SUMIF(Tabla5[[#Headers],[#Data],[CODIGO ]],Tabla4[[#This Row],[CODIGO ]],Tabla5[[#Headers],[#Data],[ENTRADA ]])</f>
        <v>0</v>
      </c>
      <c r="H92">
        <f>SUMIF(Tabla6[[#All],[CODIGO ]],Tabla4[[#This Row],[CODIGO ]],Tabla6[[#All],[SALIDA ]])</f>
        <v>0</v>
      </c>
      <c r="I92" s="2">
        <f>+Tabla4[[#This Row],[STOCK INICIAL]]+Tabla4[[#This Row],[ENTRADAS]]-Tabla4[[#This Row],[SALIDAS]]</f>
        <v>1</v>
      </c>
    </row>
    <row r="93" spans="2:9" x14ac:dyDescent="0.35">
      <c r="B93">
        <v>91</v>
      </c>
      <c r="C93" t="s">
        <v>133</v>
      </c>
      <c r="D93">
        <v>2</v>
      </c>
      <c r="E93" t="s">
        <v>38</v>
      </c>
      <c r="F93" t="s">
        <v>29</v>
      </c>
      <c r="G93">
        <f>+SUMIF(Tabla5[[#Headers],[#Data],[CODIGO ]],Tabla4[[#This Row],[CODIGO ]],Tabla5[[#Headers],[#Data],[ENTRADA ]])</f>
        <v>0</v>
      </c>
      <c r="H93">
        <f>SUMIF(Tabla6[[#All],[CODIGO ]],Tabla4[[#This Row],[CODIGO ]],Tabla6[[#All],[SALIDA ]])</f>
        <v>0</v>
      </c>
      <c r="I93" s="2">
        <f>+Tabla4[[#This Row],[STOCK INICIAL]]+Tabla4[[#This Row],[ENTRADAS]]-Tabla4[[#This Row],[SALIDAS]]</f>
        <v>2</v>
      </c>
    </row>
    <row r="94" spans="2:9" x14ac:dyDescent="0.35">
      <c r="B94">
        <v>92</v>
      </c>
      <c r="C94" t="s">
        <v>134</v>
      </c>
      <c r="D94">
        <v>1</v>
      </c>
      <c r="E94" t="s">
        <v>38</v>
      </c>
      <c r="F94" t="s">
        <v>29</v>
      </c>
      <c r="G94">
        <f>+SUMIF(Tabla5[[#Headers],[#Data],[CODIGO ]],Tabla4[[#This Row],[CODIGO ]],Tabla5[[#Headers],[#Data],[ENTRADA ]])</f>
        <v>0</v>
      </c>
      <c r="H94">
        <f>SUMIF(Tabla6[[#All],[CODIGO ]],Tabla4[[#This Row],[CODIGO ]],Tabla6[[#All],[SALIDA ]])</f>
        <v>0</v>
      </c>
      <c r="I94" s="2">
        <f>+Tabla4[[#This Row],[STOCK INICIAL]]+Tabla4[[#This Row],[ENTRADAS]]-Tabla4[[#This Row],[SALIDAS]]</f>
        <v>1</v>
      </c>
    </row>
    <row r="95" spans="2:9" x14ac:dyDescent="0.35">
      <c r="B95">
        <v>93</v>
      </c>
      <c r="C95" t="s">
        <v>130</v>
      </c>
      <c r="D95">
        <v>2</v>
      </c>
      <c r="E95" t="s">
        <v>118</v>
      </c>
      <c r="F95" t="s">
        <v>29</v>
      </c>
      <c r="G95">
        <f>+SUMIF(Tabla5[[#Headers],[#Data],[CODIGO ]],Tabla4[[#This Row],[CODIGO ]],Tabla5[[#Headers],[#Data],[ENTRADA ]])</f>
        <v>0</v>
      </c>
      <c r="H95">
        <f>SUMIF(Tabla6[[#All],[CODIGO ]],Tabla4[[#This Row],[CODIGO ]],Tabla6[[#All],[SALIDA ]])</f>
        <v>0</v>
      </c>
      <c r="I95" s="2">
        <f>+Tabla4[[#This Row],[STOCK INICIAL]]+Tabla4[[#This Row],[ENTRADAS]]-Tabla4[[#This Row],[SALIDAS]]</f>
        <v>2</v>
      </c>
    </row>
    <row r="96" spans="2:9" x14ac:dyDescent="0.35">
      <c r="B96">
        <v>94</v>
      </c>
      <c r="C96" t="s">
        <v>127</v>
      </c>
      <c r="D96">
        <v>9</v>
      </c>
      <c r="E96" t="s">
        <v>38</v>
      </c>
      <c r="F96" t="s">
        <v>29</v>
      </c>
      <c r="G96">
        <f>+SUMIF(Tabla5[[#Headers],[#Data],[CODIGO ]],Tabla4[[#This Row],[CODIGO ]],Tabla5[[#Headers],[#Data],[ENTRADA ]])</f>
        <v>0</v>
      </c>
      <c r="H96">
        <f>SUMIF(Tabla6[[#All],[CODIGO ]],Tabla4[[#This Row],[CODIGO ]],Tabla6[[#All],[SALIDA ]])</f>
        <v>0</v>
      </c>
      <c r="I96" s="2">
        <f>+Tabla4[[#This Row],[STOCK INICIAL]]+Tabla4[[#This Row],[ENTRADAS]]-Tabla4[[#This Row],[SALIDAS]]</f>
        <v>9</v>
      </c>
    </row>
    <row r="97" spans="2:9" x14ac:dyDescent="0.35">
      <c r="B97">
        <v>95</v>
      </c>
      <c r="C97" t="s">
        <v>128</v>
      </c>
      <c r="D97">
        <v>6</v>
      </c>
      <c r="E97" t="s">
        <v>38</v>
      </c>
      <c r="F97" t="s">
        <v>29</v>
      </c>
      <c r="G97">
        <f>+SUMIF(Tabla5[[#Headers],[#Data],[CODIGO ]],Tabla4[[#This Row],[CODIGO ]],Tabla5[[#Headers],[#Data],[ENTRADA ]])</f>
        <v>0</v>
      </c>
      <c r="H97">
        <f>SUMIF(Tabla6[[#All],[CODIGO ]],Tabla4[[#This Row],[CODIGO ]],Tabla6[[#All],[SALIDA ]])</f>
        <v>0</v>
      </c>
      <c r="I97" s="2">
        <f>+Tabla4[[#This Row],[STOCK INICIAL]]+Tabla4[[#This Row],[ENTRADAS]]-Tabla4[[#This Row],[SALIDAS]]</f>
        <v>6</v>
      </c>
    </row>
    <row r="98" spans="2:9" x14ac:dyDescent="0.35">
      <c r="B98">
        <v>96</v>
      </c>
      <c r="C98" t="s">
        <v>129</v>
      </c>
      <c r="D98">
        <v>3</v>
      </c>
      <c r="E98" t="s">
        <v>38</v>
      </c>
      <c r="F98" t="s">
        <v>29</v>
      </c>
      <c r="G98">
        <f>+SUMIF(Tabla5[[#Headers],[#Data],[CODIGO ]],Tabla4[[#This Row],[CODIGO ]],Tabla5[[#Headers],[#Data],[ENTRADA ]])</f>
        <v>0</v>
      </c>
      <c r="H98">
        <f>SUMIF(Tabla6[[#All],[CODIGO ]],Tabla4[[#This Row],[CODIGO ]],Tabla6[[#All],[SALIDA ]])</f>
        <v>0</v>
      </c>
      <c r="I98" s="2">
        <f>+Tabla4[[#This Row],[STOCK INICIAL]]+Tabla4[[#This Row],[ENTRADAS]]-Tabla4[[#This Row],[SALIDAS]]</f>
        <v>3</v>
      </c>
    </row>
    <row r="99" spans="2:9" x14ac:dyDescent="0.35">
      <c r="B99">
        <v>97</v>
      </c>
      <c r="C99" t="s">
        <v>67</v>
      </c>
      <c r="D99">
        <v>1</v>
      </c>
      <c r="E99" t="s">
        <v>33</v>
      </c>
      <c r="F99" t="s">
        <v>29</v>
      </c>
      <c r="G99">
        <f>+SUMIF(Tabla5[[#Headers],[#Data],[CODIGO ]],Tabla4[[#This Row],[CODIGO ]],Tabla5[[#Headers],[#Data],[ENTRADA ]])</f>
        <v>0</v>
      </c>
      <c r="H99">
        <f>SUMIF(Tabla6[[#All],[CODIGO ]],Tabla4[[#This Row],[CODIGO ]],Tabla6[[#All],[SALIDA ]])</f>
        <v>0</v>
      </c>
      <c r="I99" s="2">
        <f>+Tabla4[[#This Row],[STOCK INICIAL]]+Tabla4[[#This Row],[ENTRADAS]]-Tabla4[[#This Row],[SALIDAS]]</f>
        <v>1</v>
      </c>
    </row>
    <row r="100" spans="2:9" x14ac:dyDescent="0.35">
      <c r="B100">
        <v>98</v>
      </c>
      <c r="C100" t="s">
        <v>80</v>
      </c>
      <c r="D100">
        <v>2</v>
      </c>
      <c r="E100" t="s">
        <v>38</v>
      </c>
      <c r="F100" t="s">
        <v>31</v>
      </c>
      <c r="G100">
        <f>+SUMIF(Tabla5[[#Headers],[#Data],[CODIGO ]],Tabla4[[#This Row],[CODIGO ]],Tabla5[[#Headers],[#Data],[ENTRADA ]])</f>
        <v>0</v>
      </c>
      <c r="H100">
        <f>SUMIF(Tabla6[[#All],[CODIGO ]],Tabla4[[#This Row],[CODIGO ]],Tabla6[[#All],[SALIDA ]])</f>
        <v>0</v>
      </c>
      <c r="I100" s="2">
        <f>+Tabla4[[#This Row],[STOCK INICIAL]]+Tabla4[[#This Row],[ENTRADAS]]-Tabla4[[#This Row],[SALIDAS]]</f>
        <v>2</v>
      </c>
    </row>
    <row r="101" spans="2:9" x14ac:dyDescent="0.35">
      <c r="B101">
        <v>99</v>
      </c>
      <c r="C101" t="s">
        <v>148</v>
      </c>
      <c r="D101">
        <v>3</v>
      </c>
      <c r="E101" t="s">
        <v>97</v>
      </c>
      <c r="F101" t="s">
        <v>29</v>
      </c>
      <c r="G101">
        <f>+SUMIF(Tabla5[[#Headers],[#Data],[CODIGO ]],Tabla4[[#This Row],[CODIGO ]],Tabla5[[#Headers],[#Data],[ENTRADA ]])</f>
        <v>0</v>
      </c>
      <c r="H101">
        <f>SUMIF(Tabla6[[#All],[CODIGO ]],Tabla4[[#This Row],[CODIGO ]],Tabla6[[#All],[SALIDA ]])</f>
        <v>0</v>
      </c>
      <c r="I101" s="2">
        <f>+Tabla4[[#This Row],[STOCK INICIAL]]+Tabla4[[#This Row],[ENTRADAS]]-Tabla4[[#This Row],[SALIDAS]]</f>
        <v>3</v>
      </c>
    </row>
    <row r="102" spans="2:9" x14ac:dyDescent="0.35">
      <c r="B102">
        <v>100</v>
      </c>
      <c r="C102" t="s">
        <v>98</v>
      </c>
      <c r="D102">
        <v>4</v>
      </c>
      <c r="E102" t="s">
        <v>38</v>
      </c>
      <c r="F102" t="s">
        <v>29</v>
      </c>
      <c r="G102">
        <f>+SUMIF(Tabla5[[#Headers],[#Data],[CODIGO ]],Tabla4[[#This Row],[CODIGO ]],Tabla5[[#Headers],[#Data],[ENTRADA ]])</f>
        <v>0</v>
      </c>
      <c r="H102">
        <f>SUMIF(Tabla6[[#All],[CODIGO ]],Tabla4[[#This Row],[CODIGO ]],Tabla6[[#All],[SALIDA ]])</f>
        <v>0</v>
      </c>
      <c r="I102" s="2">
        <f>+Tabla4[[#This Row],[STOCK INICIAL]]+Tabla4[[#This Row],[ENTRADAS]]-Tabla4[[#This Row],[SALIDAS]]</f>
        <v>4</v>
      </c>
    </row>
    <row r="103" spans="2:9" x14ac:dyDescent="0.35">
      <c r="B103">
        <v>101</v>
      </c>
      <c r="C103" t="s">
        <v>40</v>
      </c>
      <c r="D103">
        <v>9</v>
      </c>
      <c r="E103" t="s">
        <v>33</v>
      </c>
      <c r="F103" t="s">
        <v>29</v>
      </c>
      <c r="G103">
        <f>+SUMIF(Tabla5[[#Headers],[#Data],[CODIGO ]],Tabla4[[#This Row],[CODIGO ]],Tabla5[[#Headers],[#Data],[ENTRADA ]])</f>
        <v>0</v>
      </c>
      <c r="H103">
        <f>SUMIF(Tabla6[[#All],[CODIGO ]],Tabla4[[#This Row],[CODIGO ]],Tabla6[[#All],[SALIDA ]])</f>
        <v>0</v>
      </c>
      <c r="I103" s="2">
        <f>+Tabla4[[#This Row],[STOCK INICIAL]]+Tabla4[[#This Row],[ENTRADAS]]-Tabla4[[#This Row],[SALIDAS]]</f>
        <v>9</v>
      </c>
    </row>
    <row r="104" spans="2:9" x14ac:dyDescent="0.35">
      <c r="B104">
        <v>102</v>
      </c>
      <c r="C104" t="s">
        <v>80</v>
      </c>
      <c r="D104">
        <v>2</v>
      </c>
      <c r="E104" t="s">
        <v>38</v>
      </c>
      <c r="F104" t="s">
        <v>29</v>
      </c>
      <c r="G104">
        <f>+SUMIF(Tabla5[[#Headers],[#Data],[CODIGO ]],Tabla4[[#This Row],[CODIGO ]],Tabla5[[#Headers],[#Data],[ENTRADA ]])</f>
        <v>0</v>
      </c>
      <c r="H104">
        <f>SUMIF(Tabla6[[#All],[CODIGO ]],Tabla4[[#This Row],[CODIGO ]],Tabla6[[#All],[SALIDA ]])</f>
        <v>0</v>
      </c>
      <c r="I104" s="2">
        <f>+Tabla4[[#This Row],[STOCK INICIAL]]+Tabla4[[#This Row],[ENTRADAS]]-Tabla4[[#This Row],[SALIDAS]]</f>
        <v>2</v>
      </c>
    </row>
    <row r="105" spans="2:9" x14ac:dyDescent="0.35">
      <c r="B105">
        <v>103</v>
      </c>
      <c r="C105" t="s">
        <v>138</v>
      </c>
      <c r="D105">
        <v>3</v>
      </c>
      <c r="E105" t="s">
        <v>139</v>
      </c>
      <c r="F105" t="s">
        <v>29</v>
      </c>
      <c r="G105">
        <f>+SUMIF(Tabla5[[#Headers],[#Data],[CODIGO ]],Tabla4[[#This Row],[CODIGO ]],Tabla5[[#Headers],[#Data],[ENTRADA ]])</f>
        <v>0</v>
      </c>
      <c r="H105">
        <f>SUMIF(Tabla6[[#All],[CODIGO ]],Tabla4[[#This Row],[CODIGO ]],Tabla6[[#All],[SALIDA ]])</f>
        <v>0</v>
      </c>
      <c r="I105" s="2">
        <f>+Tabla4[[#This Row],[STOCK INICIAL]]+Tabla4[[#This Row],[ENTRADAS]]-Tabla4[[#This Row],[SALIDAS]]</f>
        <v>3</v>
      </c>
    </row>
    <row r="106" spans="2:9" x14ac:dyDescent="0.35">
      <c r="B106">
        <v>104</v>
      </c>
      <c r="C106" t="s">
        <v>135</v>
      </c>
      <c r="D106">
        <v>1</v>
      </c>
      <c r="E106" t="s">
        <v>38</v>
      </c>
      <c r="F106" t="s">
        <v>29</v>
      </c>
      <c r="G106">
        <f>+SUMIF(Tabla5[[#Headers],[#Data],[CODIGO ]],Tabla4[[#This Row],[CODIGO ]],Tabla5[[#Headers],[#Data],[ENTRADA ]])</f>
        <v>0</v>
      </c>
      <c r="H106">
        <f>SUMIF(Tabla6[[#All],[CODIGO ]],Tabla4[[#This Row],[CODIGO ]],Tabla6[[#All],[SALIDA ]])</f>
        <v>0</v>
      </c>
      <c r="I106" s="2">
        <f>+Tabla4[[#This Row],[STOCK INICIAL]]+Tabla4[[#This Row],[ENTRADAS]]-Tabla4[[#This Row],[SALIDAS]]</f>
        <v>1</v>
      </c>
    </row>
    <row r="107" spans="2:9" x14ac:dyDescent="0.35">
      <c r="B107">
        <v>105</v>
      </c>
      <c r="C107" t="s">
        <v>136</v>
      </c>
      <c r="D107">
        <v>6</v>
      </c>
      <c r="E107" t="s">
        <v>38</v>
      </c>
      <c r="F107" t="s">
        <v>29</v>
      </c>
      <c r="G107">
        <f>+SUMIF(Tabla5[[#Headers],[#Data],[CODIGO ]],Tabla4[[#This Row],[CODIGO ]],Tabla5[[#Headers],[#Data],[ENTRADA ]])</f>
        <v>0</v>
      </c>
      <c r="H107">
        <f>SUMIF(Tabla6[[#All],[CODIGO ]],Tabla4[[#This Row],[CODIGO ]],Tabla6[[#All],[SALIDA ]])</f>
        <v>0</v>
      </c>
      <c r="I107" s="2">
        <f>+Tabla4[[#This Row],[STOCK INICIAL]]+Tabla4[[#This Row],[ENTRADAS]]-Tabla4[[#This Row],[SALIDAS]]</f>
        <v>6</v>
      </c>
    </row>
    <row r="108" spans="2:9" x14ac:dyDescent="0.35">
      <c r="B108">
        <v>106</v>
      </c>
      <c r="C108" t="s">
        <v>137</v>
      </c>
      <c r="D108">
        <v>3</v>
      </c>
      <c r="E108" t="s">
        <v>38</v>
      </c>
      <c r="F108" t="s">
        <v>29</v>
      </c>
      <c r="G108">
        <f>+SUMIF(Tabla5[[#Headers],[#Data],[CODIGO ]],Tabla4[[#This Row],[CODIGO ]],Tabla5[[#Headers],[#Data],[ENTRADA ]])</f>
        <v>0</v>
      </c>
      <c r="H108">
        <f>SUMIF(Tabla6[[#All],[CODIGO ]],Tabla4[[#This Row],[CODIGO ]],Tabla6[[#All],[SALIDA ]])</f>
        <v>0</v>
      </c>
      <c r="I108" s="2">
        <f>+Tabla4[[#This Row],[STOCK INICIAL]]+Tabla4[[#This Row],[ENTRADAS]]-Tabla4[[#This Row],[SALIDAS]]</f>
        <v>3</v>
      </c>
    </row>
    <row r="109" spans="2:9" x14ac:dyDescent="0.35">
      <c r="B109">
        <v>107</v>
      </c>
      <c r="C109" t="s">
        <v>65</v>
      </c>
      <c r="D109">
        <v>6</v>
      </c>
      <c r="E109" t="s">
        <v>38</v>
      </c>
      <c r="F109" t="s">
        <v>29</v>
      </c>
      <c r="G109">
        <f>+SUMIF(Tabla5[[#Headers],[#Data],[CODIGO ]],Tabla4[[#This Row],[CODIGO ]],Tabla5[[#Headers],[#Data],[ENTRADA ]])</f>
        <v>0</v>
      </c>
      <c r="H109">
        <f>SUMIF(Tabla6[[#All],[CODIGO ]],Tabla4[[#This Row],[CODIGO ]],Tabla6[[#All],[SALIDA ]])</f>
        <v>2</v>
      </c>
      <c r="I109" s="2">
        <f>+Tabla4[[#This Row],[STOCK INICIAL]]+Tabla4[[#This Row],[ENTRADAS]]-Tabla4[[#This Row],[SALIDAS]]</f>
        <v>4</v>
      </c>
    </row>
    <row r="110" spans="2:9" x14ac:dyDescent="0.35">
      <c r="B110">
        <v>108</v>
      </c>
      <c r="C110" t="s">
        <v>146</v>
      </c>
      <c r="D110">
        <v>9</v>
      </c>
      <c r="E110" t="s">
        <v>38</v>
      </c>
      <c r="F110" t="s">
        <v>29</v>
      </c>
      <c r="G110">
        <f>+SUMIF(Tabla5[[#Headers],[#Data],[CODIGO ]],Tabla4[[#This Row],[CODIGO ]],Tabla5[[#Headers],[#Data],[ENTRADA ]])</f>
        <v>0</v>
      </c>
      <c r="H110">
        <f>SUMIF(Tabla6[[#All],[CODIGO ]],Tabla4[[#This Row],[CODIGO ]],Tabla6[[#All],[SALIDA ]])</f>
        <v>1</v>
      </c>
      <c r="I110" s="2">
        <f>+Tabla4[[#This Row],[STOCK INICIAL]]+Tabla4[[#This Row],[ENTRADAS]]-Tabla4[[#This Row],[SALIDAS]]</f>
        <v>8</v>
      </c>
    </row>
    <row r="111" spans="2:9" x14ac:dyDescent="0.35">
      <c r="B111">
        <v>109</v>
      </c>
      <c r="C111" t="s">
        <v>66</v>
      </c>
      <c r="D111">
        <v>2</v>
      </c>
      <c r="E111" t="s">
        <v>38</v>
      </c>
      <c r="F111" t="s">
        <v>29</v>
      </c>
      <c r="G111">
        <f>+SUMIF(Tabla5[[#Headers],[#Data],[CODIGO ]],Tabla4[[#This Row],[CODIGO ]],Tabla5[[#Headers],[#Data],[ENTRADA ]])</f>
        <v>0</v>
      </c>
      <c r="H111">
        <f>SUMIF(Tabla6[[#All],[CODIGO ]],Tabla4[[#This Row],[CODIGO ]],Tabla6[[#All],[SALIDA ]])</f>
        <v>1</v>
      </c>
      <c r="I111" s="2">
        <f>+Tabla4[[#This Row],[STOCK INICIAL]]+Tabla4[[#This Row],[ENTRADAS]]-Tabla4[[#This Row],[SALIDAS]]</f>
        <v>1</v>
      </c>
    </row>
    <row r="112" spans="2:9" x14ac:dyDescent="0.35">
      <c r="B112">
        <v>110</v>
      </c>
      <c r="C112" t="s">
        <v>99</v>
      </c>
      <c r="D112">
        <v>6</v>
      </c>
      <c r="E112" t="s">
        <v>44</v>
      </c>
      <c r="F112" t="s">
        <v>29</v>
      </c>
      <c r="G112">
        <f>+SUMIF(Tabla5[[#Headers],[#Data],[CODIGO ]],Tabla4[[#This Row],[CODIGO ]],Tabla5[[#Headers],[#Data],[ENTRADA ]])</f>
        <v>0</v>
      </c>
      <c r="H112">
        <f>SUMIF(Tabla6[[#All],[CODIGO ]],Tabla4[[#This Row],[CODIGO ]],Tabla6[[#All],[SALIDA ]])</f>
        <v>0</v>
      </c>
      <c r="I112" s="2">
        <f>+Tabla4[[#This Row],[STOCK INICIAL]]+Tabla4[[#This Row],[ENTRADAS]]-Tabla4[[#This Row],[SALIDAS]]</f>
        <v>6</v>
      </c>
    </row>
    <row r="113" spans="2:9" x14ac:dyDescent="0.35">
      <c r="B113">
        <v>111</v>
      </c>
      <c r="C113" t="s">
        <v>79</v>
      </c>
      <c r="D113">
        <v>2</v>
      </c>
      <c r="E113" t="s">
        <v>38</v>
      </c>
      <c r="F113" t="s">
        <v>31</v>
      </c>
      <c r="G113">
        <f>+SUMIF(Tabla5[[#Headers],[#Data],[CODIGO ]],Tabla4[[#This Row],[CODIGO ]],Tabla5[[#Headers],[#Data],[ENTRADA ]])</f>
        <v>0</v>
      </c>
      <c r="H113">
        <f>SUMIF(Tabla6[[#All],[CODIGO ]],Tabla4[[#This Row],[CODIGO ]],Tabla6[[#All],[SALIDA ]])</f>
        <v>0</v>
      </c>
      <c r="I113" s="2">
        <f>+Tabla4[[#This Row],[STOCK INICIAL]]+Tabla4[[#This Row],[ENTRADAS]]-Tabla4[[#This Row],[SALIDAS]]</f>
        <v>2</v>
      </c>
    </row>
    <row r="114" spans="2:9" x14ac:dyDescent="0.35">
      <c r="B114">
        <v>112</v>
      </c>
      <c r="C114" t="s">
        <v>92</v>
      </c>
      <c r="D114">
        <v>19</v>
      </c>
      <c r="E114" t="s">
        <v>44</v>
      </c>
      <c r="F114" t="s">
        <v>29</v>
      </c>
      <c r="G114">
        <f>+SUMIF(Tabla5[[#Headers],[#Data],[CODIGO ]],Tabla4[[#This Row],[CODIGO ]],Tabla5[[#Headers],[#Data],[ENTRADA ]])</f>
        <v>0</v>
      </c>
      <c r="H114">
        <f>SUMIF(Tabla6[[#All],[CODIGO ]],Tabla4[[#This Row],[CODIGO ]],Tabla6[[#All],[SALIDA ]])</f>
        <v>0</v>
      </c>
      <c r="I114" s="2">
        <f>+Tabla4[[#This Row],[STOCK INICIAL]]+Tabla4[[#This Row],[ENTRADAS]]-Tabla4[[#This Row],[SALIDAS]]</f>
        <v>19</v>
      </c>
    </row>
    <row r="115" spans="2:9" x14ac:dyDescent="0.35">
      <c r="B115">
        <v>113</v>
      </c>
      <c r="C115" t="s">
        <v>115</v>
      </c>
      <c r="D115">
        <v>3</v>
      </c>
      <c r="E115" t="s">
        <v>91</v>
      </c>
      <c r="F115" t="s">
        <v>29</v>
      </c>
      <c r="G115">
        <f>+SUMIF(Tabla5[[#Headers],[#Data],[CODIGO ]],Tabla4[[#This Row],[CODIGO ]],Tabla5[[#Headers],[#Data],[ENTRADA ]])</f>
        <v>0</v>
      </c>
      <c r="H115">
        <f>SUMIF(Tabla6[[#All],[CODIGO ]],Tabla4[[#This Row],[CODIGO ]],Tabla6[[#All],[SALIDA ]])</f>
        <v>0</v>
      </c>
      <c r="I115" s="2">
        <f>+Tabla4[[#This Row],[STOCK INICIAL]]+Tabla4[[#This Row],[ENTRADAS]]-Tabla4[[#This Row],[SALIDAS]]</f>
        <v>3</v>
      </c>
    </row>
    <row r="116" spans="2:9" x14ac:dyDescent="0.35">
      <c r="B116">
        <v>114</v>
      </c>
      <c r="C116" t="s">
        <v>147</v>
      </c>
      <c r="D116">
        <v>1</v>
      </c>
      <c r="E116" t="s">
        <v>38</v>
      </c>
      <c r="F116" t="s">
        <v>29</v>
      </c>
      <c r="G116">
        <f>+SUMIF(Tabla5[[#Headers],[#Data],[CODIGO ]],Tabla4[[#This Row],[CODIGO ]],Tabla5[[#Headers],[#Data],[ENTRADA ]])</f>
        <v>0</v>
      </c>
      <c r="H116">
        <f>SUMIF(Tabla6[[#All],[CODIGO ]],Tabla4[[#This Row],[CODIGO ]],Tabla6[[#All],[SALIDA ]])</f>
        <v>0</v>
      </c>
      <c r="I116" s="2">
        <f>+Tabla4[[#This Row],[STOCK INICIAL]]+Tabla4[[#This Row],[ENTRADAS]]-Tabla4[[#This Row],[SALIDAS]]</f>
        <v>1</v>
      </c>
    </row>
    <row r="117" spans="2:9" x14ac:dyDescent="0.35">
      <c r="B117">
        <v>115</v>
      </c>
      <c r="C117" t="s">
        <v>113</v>
      </c>
      <c r="D117">
        <v>5</v>
      </c>
      <c r="E117" t="s">
        <v>107</v>
      </c>
      <c r="F117" t="s">
        <v>29</v>
      </c>
      <c r="G117">
        <f>+SUMIF(Tabla5[[#Headers],[#Data],[CODIGO ]],Tabla4[[#This Row],[CODIGO ]],Tabla5[[#Headers],[#Data],[ENTRADA ]])</f>
        <v>0</v>
      </c>
      <c r="H117">
        <f>SUMIF(Tabla6[[#All],[CODIGO ]],Tabla4[[#This Row],[CODIGO ]],Tabla6[[#All],[SALIDA ]])</f>
        <v>0</v>
      </c>
      <c r="I117" s="2">
        <f>+Tabla4[[#This Row],[STOCK INICIAL]]+Tabla4[[#This Row],[ENTRADAS]]-Tabla4[[#This Row],[SALIDAS]]</f>
        <v>5</v>
      </c>
    </row>
  </sheetData>
  <mergeCells count="1">
    <mergeCell ref="B1:I1"/>
  </mergeCells>
  <phoneticPr fontId="2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EF0B-37B8-479B-AAA2-EFA76FD0DB22}">
  <dimension ref="B1:E3"/>
  <sheetViews>
    <sheetView workbookViewId="0">
      <selection activeCell="E3" sqref="E3"/>
    </sheetView>
  </sheetViews>
  <sheetFormatPr baseColWidth="10" defaultRowHeight="14.5" x14ac:dyDescent="0.35"/>
  <cols>
    <col min="2" max="2" width="11" bestFit="1" customWidth="1"/>
    <col min="3" max="3" width="12.54296875" customWidth="1"/>
    <col min="4" max="4" width="19.1796875" bestFit="1" customWidth="1"/>
    <col min="5" max="5" width="17.7265625" customWidth="1"/>
  </cols>
  <sheetData>
    <row r="1" spans="2:5" x14ac:dyDescent="0.35">
      <c r="B1" s="4" t="s">
        <v>3</v>
      </c>
      <c r="C1" s="4"/>
      <c r="D1" s="4"/>
      <c r="E1" s="4"/>
    </row>
    <row r="2" spans="2:5" x14ac:dyDescent="0.35">
      <c r="B2" t="s">
        <v>0</v>
      </c>
      <c r="C2" t="s">
        <v>23</v>
      </c>
      <c r="D2" t="s">
        <v>24</v>
      </c>
      <c r="E2" t="s">
        <v>25</v>
      </c>
    </row>
    <row r="3" spans="2:5" x14ac:dyDescent="0.35">
      <c r="B3">
        <v>8</v>
      </c>
      <c r="D3" t="str">
        <f>+VLOOKUP(Tabla5[[#This Row],[CODIGO ]],Tabla4[],2,0)</f>
        <v>Barbiquejos negros</v>
      </c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E302-041B-4D48-9BE0-086789D24F42}">
  <dimension ref="B1:E53"/>
  <sheetViews>
    <sheetView topLeftCell="A37" workbookViewId="0">
      <selection activeCell="E53" sqref="E53"/>
    </sheetView>
  </sheetViews>
  <sheetFormatPr baseColWidth="10" defaultRowHeight="14.5" x14ac:dyDescent="0.35"/>
  <cols>
    <col min="3" max="3" width="10.54296875" customWidth="1"/>
    <col min="4" max="4" width="45.54296875" bestFit="1" customWidth="1"/>
  </cols>
  <sheetData>
    <row r="1" spans="2:5" x14ac:dyDescent="0.35">
      <c r="B1" s="5" t="s">
        <v>27</v>
      </c>
      <c r="C1" s="5"/>
      <c r="D1" s="5"/>
      <c r="E1" s="5"/>
    </row>
    <row r="2" spans="2:5" x14ac:dyDescent="0.35">
      <c r="B2" t="s">
        <v>0</v>
      </c>
      <c r="C2" t="s">
        <v>23</v>
      </c>
      <c r="D2" t="s">
        <v>24</v>
      </c>
      <c r="E2" t="s">
        <v>26</v>
      </c>
    </row>
    <row r="3" spans="2:5" x14ac:dyDescent="0.35">
      <c r="B3">
        <v>25</v>
      </c>
      <c r="C3" s="1">
        <v>46104</v>
      </c>
      <c r="D3" t="str">
        <f>+VLOOKUP(Tabla6[[#This Row],[CODIGO ]],Tabla4[],2,0)</f>
        <v>Buzo de papel XXXL</v>
      </c>
      <c r="E3">
        <v>5</v>
      </c>
    </row>
    <row r="4" spans="2:5" x14ac:dyDescent="0.35">
      <c r="B4">
        <v>79</v>
      </c>
      <c r="C4" s="1">
        <v>46105</v>
      </c>
      <c r="D4" t="str">
        <f>+VLOOKUP(Tabla6[[#This Row],[CODIGO ]],Tabla4[],2,0)</f>
        <v>Lentes de seguridad in/out 02-01-165</v>
      </c>
      <c r="E4">
        <v>1</v>
      </c>
    </row>
    <row r="5" spans="2:5" x14ac:dyDescent="0.35">
      <c r="B5">
        <v>37</v>
      </c>
      <c r="C5" s="1">
        <v>46105</v>
      </c>
      <c r="D5" t="str">
        <f>+VLOOKUP(Tabla6[[#This Row],[CODIGO ]],Tabla4[],2,0)</f>
        <v xml:space="preserve">Chaleco geologo azúl con logo M </v>
      </c>
      <c r="E5">
        <v>4</v>
      </c>
    </row>
    <row r="6" spans="2:5" x14ac:dyDescent="0.35">
      <c r="B6">
        <v>41</v>
      </c>
      <c r="C6" s="1">
        <v>46105</v>
      </c>
      <c r="D6" t="str">
        <f>+VLOOKUP(Tabla6[[#This Row],[CODIGO ]],Tabla4[],2,0)</f>
        <v>Chaleco geologo azúl con logo XXL</v>
      </c>
      <c r="E6">
        <v>2</v>
      </c>
    </row>
    <row r="7" spans="2:5" x14ac:dyDescent="0.35">
      <c r="B7">
        <v>40</v>
      </c>
      <c r="C7" s="1">
        <v>46105</v>
      </c>
      <c r="D7" t="str">
        <f>+VLOOKUP(Tabla6[[#This Row],[CODIGO ]],Tabla4[],2,0)</f>
        <v>Chaleco geologo azúl con logo XL</v>
      </c>
      <c r="E7">
        <v>1</v>
      </c>
    </row>
    <row r="8" spans="2:5" x14ac:dyDescent="0.35">
      <c r="B8">
        <v>39</v>
      </c>
      <c r="C8" s="1">
        <v>46105</v>
      </c>
      <c r="D8" t="str">
        <f>+VLOOKUP(Tabla6[[#This Row],[CODIGO ]],Tabla4[],2,0)</f>
        <v xml:space="preserve">Chaleco geologo azúl con logo S </v>
      </c>
      <c r="E8">
        <v>2</v>
      </c>
    </row>
    <row r="9" spans="2:5" x14ac:dyDescent="0.35">
      <c r="B9">
        <v>38</v>
      </c>
      <c r="C9" s="1">
        <v>46105</v>
      </c>
      <c r="D9" t="str">
        <f>+VLOOKUP(Tabla6[[#This Row],[CODIGO ]],Tabla4[],2,0)</f>
        <v xml:space="preserve">Chaleco geologo azúl con logo L </v>
      </c>
      <c r="E9">
        <v>3</v>
      </c>
    </row>
    <row r="10" spans="2:5" x14ac:dyDescent="0.35">
      <c r="B10">
        <v>25</v>
      </c>
      <c r="C10" s="1">
        <v>46105</v>
      </c>
      <c r="D10" t="str">
        <f>+VLOOKUP(Tabla6[[#This Row],[CODIGO ]],Tabla4[],2,0)</f>
        <v>Buzo de papel XXXL</v>
      </c>
      <c r="E10">
        <v>8</v>
      </c>
    </row>
    <row r="11" spans="2:5" x14ac:dyDescent="0.35">
      <c r="B11">
        <v>81</v>
      </c>
      <c r="C11" s="1">
        <v>46105</v>
      </c>
      <c r="D11" t="str">
        <f>+VLOOKUP(Tabla6[[#This Row],[CODIGO ]],Tabla4[],2,0)</f>
        <v xml:space="preserve">Lentes de seguridad transparentes </v>
      </c>
      <c r="E11">
        <v>8</v>
      </c>
    </row>
    <row r="12" spans="2:5" x14ac:dyDescent="0.35">
      <c r="B12">
        <v>67</v>
      </c>
      <c r="C12" s="1">
        <v>46105</v>
      </c>
      <c r="D12" t="str">
        <f>+VLOOKUP(Tabla6[[#This Row],[CODIGO ]],Tabla4[],2,0)</f>
        <v>Guantes hyflex N-876 M</v>
      </c>
      <c r="E12">
        <v>5</v>
      </c>
    </row>
    <row r="13" spans="2:5" x14ac:dyDescent="0.35">
      <c r="B13">
        <v>63</v>
      </c>
      <c r="C13" s="1">
        <v>46105</v>
      </c>
      <c r="D13" t="str">
        <f>+VLOOKUP(Tabla6[[#This Row],[CODIGO ]],Tabla4[],2,0)</f>
        <v>Guante hyflex 11-600 L</v>
      </c>
      <c r="E13">
        <v>2</v>
      </c>
    </row>
    <row r="14" spans="2:5" x14ac:dyDescent="0.35">
      <c r="B14">
        <v>66</v>
      </c>
      <c r="C14" s="1">
        <v>46105</v>
      </c>
      <c r="D14" t="str">
        <f>+VLOOKUP(Tabla6[[#This Row],[CODIGO ]],Tabla4[],2,0)</f>
        <v xml:space="preserve">Guantes hyflex N-876 L </v>
      </c>
      <c r="E14">
        <v>4</v>
      </c>
    </row>
    <row r="15" spans="2:5" x14ac:dyDescent="0.35">
      <c r="B15">
        <v>68</v>
      </c>
      <c r="C15" s="1">
        <v>46105</v>
      </c>
      <c r="D15" t="str">
        <f>+VLOOKUP(Tabla6[[#This Row],[CODIGO ]],Tabla4[],2,0)</f>
        <v>Guante nitrilo flocado verde L</v>
      </c>
      <c r="E15">
        <v>4</v>
      </c>
    </row>
    <row r="16" spans="2:5" x14ac:dyDescent="0.35">
      <c r="B16">
        <v>77</v>
      </c>
      <c r="C16" s="1">
        <v>46105</v>
      </c>
      <c r="D16" t="str">
        <f>+VLOOKUP(Tabla6[[#This Row],[CODIGO ]],Tabla4[],2,0)</f>
        <v>Lentes de seguridad clear 02-05-048 (cubrelentes)</v>
      </c>
      <c r="E16">
        <v>1</v>
      </c>
    </row>
    <row r="17" spans="2:5" x14ac:dyDescent="0.35">
      <c r="B17">
        <v>25</v>
      </c>
      <c r="C17" s="1">
        <v>46112</v>
      </c>
      <c r="D17" t="str">
        <f>+VLOOKUP(Tabla6[[#This Row],[CODIGO ]],Tabla4[],2,0)</f>
        <v>Buzo de papel XXXL</v>
      </c>
      <c r="E17">
        <v>1</v>
      </c>
    </row>
    <row r="18" spans="2:5" x14ac:dyDescent="0.35">
      <c r="B18">
        <v>25</v>
      </c>
      <c r="C18" s="1">
        <v>46119</v>
      </c>
      <c r="D18" t="str">
        <f>+VLOOKUP(Tabla6[[#This Row],[CODIGO ]],Tabla4[],2,0)</f>
        <v>Buzo de papel XXXL</v>
      </c>
      <c r="E18">
        <v>4</v>
      </c>
    </row>
    <row r="19" spans="2:5" x14ac:dyDescent="0.35">
      <c r="B19">
        <v>78</v>
      </c>
      <c r="C19" s="1">
        <v>46118</v>
      </c>
      <c r="D19" t="str">
        <f>+VLOOKUP(Tabla6[[#This Row],[CODIGO ]],Tabla4[],2,0)</f>
        <v>Lentes de seguridad grey 02-01-164</v>
      </c>
      <c r="E19">
        <v>2</v>
      </c>
    </row>
    <row r="20" spans="2:5" x14ac:dyDescent="0.35">
      <c r="B20">
        <v>81</v>
      </c>
      <c r="C20" s="1">
        <v>46118</v>
      </c>
      <c r="D20" t="str">
        <f>+VLOOKUP(Tabla6[[#This Row],[CODIGO ]],Tabla4[],2,0)</f>
        <v xml:space="preserve">Lentes de seguridad transparentes </v>
      </c>
      <c r="E20">
        <v>1</v>
      </c>
    </row>
    <row r="21" spans="2:5" x14ac:dyDescent="0.35">
      <c r="B21">
        <v>67</v>
      </c>
      <c r="C21" s="1">
        <v>46119</v>
      </c>
      <c r="D21" t="str">
        <f>+VLOOKUP(Tabla6[[#This Row],[CODIGO ]],Tabla4[],2,0)</f>
        <v>Guantes hyflex N-876 M</v>
      </c>
      <c r="E21">
        <v>1</v>
      </c>
    </row>
    <row r="22" spans="2:5" x14ac:dyDescent="0.35">
      <c r="B22">
        <v>66</v>
      </c>
      <c r="C22" s="1">
        <v>46119</v>
      </c>
      <c r="D22" t="str">
        <f>+VLOOKUP(Tabla6[[#This Row],[CODIGO ]],Tabla4[],2,0)</f>
        <v xml:space="preserve">Guantes hyflex N-876 L </v>
      </c>
      <c r="E22">
        <v>1</v>
      </c>
    </row>
    <row r="23" spans="2:5" x14ac:dyDescent="0.35">
      <c r="B23">
        <v>25</v>
      </c>
      <c r="C23" s="1">
        <v>46119</v>
      </c>
      <c r="D23" t="str">
        <f>+VLOOKUP(Tabla6[[#This Row],[CODIGO ]],Tabla4[],2,0)</f>
        <v>Buzo de papel XXXL</v>
      </c>
      <c r="E23">
        <v>1</v>
      </c>
    </row>
    <row r="24" spans="2:5" x14ac:dyDescent="0.35">
      <c r="B24">
        <v>36</v>
      </c>
      <c r="C24" s="1">
        <v>46119</v>
      </c>
      <c r="D24" t="str">
        <f>+VLOOKUP(Tabla6[[#This Row],[CODIGO ]],Tabla4[],2,0)</f>
        <v>Cascos terreno linterna negra</v>
      </c>
      <c r="E24">
        <v>4</v>
      </c>
    </row>
    <row r="25" spans="2:5" x14ac:dyDescent="0.35">
      <c r="B25">
        <v>34</v>
      </c>
      <c r="C25" s="1">
        <v>46119</v>
      </c>
      <c r="D25" t="str">
        <f>+VLOOKUP(Tabla6[[#This Row],[CODIGO ]],Tabla4[],2,0)</f>
        <v xml:space="preserve">Cascos administrativos </v>
      </c>
      <c r="E25">
        <v>1</v>
      </c>
    </row>
    <row r="26" spans="2:5" x14ac:dyDescent="0.35">
      <c r="B26">
        <v>8</v>
      </c>
      <c r="C26" s="1">
        <v>46119</v>
      </c>
      <c r="D26" t="str">
        <f>+VLOOKUP(Tabla6[[#This Row],[CODIGO ]],Tabla4[],2,0)</f>
        <v>Barbiquejos negros</v>
      </c>
      <c r="E26">
        <v>5</v>
      </c>
    </row>
    <row r="27" spans="2:5" x14ac:dyDescent="0.35">
      <c r="B27">
        <v>108</v>
      </c>
      <c r="C27" s="1">
        <v>46119</v>
      </c>
      <c r="D27" t="str">
        <f>+VLOOKUP(Tabla6[[#This Row],[CODIGO ]],Tabla4[],2,0)</f>
        <v>Respirador TPR 12/2029</v>
      </c>
      <c r="E27">
        <v>1</v>
      </c>
    </row>
    <row r="28" spans="2:5" x14ac:dyDescent="0.35">
      <c r="B28">
        <v>37</v>
      </c>
      <c r="C28" s="1">
        <v>46127</v>
      </c>
      <c r="D28" t="str">
        <f>+VLOOKUP(Tabla6[[#This Row],[CODIGO ]],Tabla4[],2,0)</f>
        <v xml:space="preserve">Chaleco geologo azúl con logo M </v>
      </c>
      <c r="E28">
        <v>1</v>
      </c>
    </row>
    <row r="29" spans="2:5" x14ac:dyDescent="0.35">
      <c r="B29">
        <v>42</v>
      </c>
      <c r="C29" s="1">
        <v>46127</v>
      </c>
      <c r="D29" t="str">
        <f>+VLOOKUP(Tabla6[[#This Row],[CODIGO ]],Tabla4[],2,0)</f>
        <v xml:space="preserve">Chaleco geologo M sin logo </v>
      </c>
      <c r="E29">
        <v>3</v>
      </c>
    </row>
    <row r="30" spans="2:5" x14ac:dyDescent="0.35">
      <c r="B30">
        <v>43</v>
      </c>
      <c r="C30" s="1">
        <v>46127</v>
      </c>
      <c r="D30" t="str">
        <f>+VLOOKUP(Tabla6[[#This Row],[CODIGO ]],Tabla4[],2,0)</f>
        <v xml:space="preserve">Chaleco geologo L sin logo </v>
      </c>
      <c r="E30">
        <v>1</v>
      </c>
    </row>
    <row r="31" spans="2:5" x14ac:dyDescent="0.35">
      <c r="B31">
        <v>34</v>
      </c>
      <c r="C31" s="1">
        <v>46127</v>
      </c>
      <c r="D31" t="str">
        <f>+VLOOKUP(Tabla6[[#This Row],[CODIGO ]],Tabla4[],2,0)</f>
        <v xml:space="preserve">Cascos administrativos </v>
      </c>
      <c r="E31">
        <v>1</v>
      </c>
    </row>
    <row r="32" spans="2:5" x14ac:dyDescent="0.35">
      <c r="B32">
        <v>30</v>
      </c>
      <c r="C32" s="1">
        <v>46126</v>
      </c>
      <c r="D32" t="str">
        <f>+VLOOKUP(Tabla6[[#This Row],[CODIGO ]],Tabla4[],2,0)</f>
        <v>Cartucho contraamoníaco 07/2026</v>
      </c>
      <c r="E32">
        <v>1</v>
      </c>
    </row>
    <row r="33" spans="2:5" x14ac:dyDescent="0.35">
      <c r="B33">
        <v>64</v>
      </c>
      <c r="C33" s="1">
        <v>46127</v>
      </c>
      <c r="D33" t="str">
        <f>+VLOOKUP(Tabla6[[#This Row],[CODIGO ]],Tabla4[],2,0)</f>
        <v>Guante hyflex EN388 L</v>
      </c>
      <c r="E33">
        <v>5</v>
      </c>
    </row>
    <row r="34" spans="2:5" x14ac:dyDescent="0.35">
      <c r="B34">
        <v>67</v>
      </c>
      <c r="C34" s="1">
        <v>46127</v>
      </c>
      <c r="D34" t="str">
        <f>+VLOOKUP(Tabla6[[#This Row],[CODIGO ]],Tabla4[],2,0)</f>
        <v>Guantes hyflex N-876 M</v>
      </c>
      <c r="E34">
        <v>3</v>
      </c>
    </row>
    <row r="35" spans="2:5" x14ac:dyDescent="0.35">
      <c r="B35">
        <v>81</v>
      </c>
      <c r="C35" s="1">
        <v>46127</v>
      </c>
      <c r="D35" t="str">
        <f>+VLOOKUP(Tabla6[[#This Row],[CODIGO ]],Tabla4[],2,0)</f>
        <v xml:space="preserve">Lentes de seguridad transparentes </v>
      </c>
      <c r="E35">
        <v>7</v>
      </c>
    </row>
    <row r="36" spans="2:5" x14ac:dyDescent="0.35">
      <c r="B36">
        <v>80</v>
      </c>
      <c r="C36" s="1">
        <v>46127</v>
      </c>
      <c r="D36" t="str">
        <f>+VLOOKUP(Tabla6[[#This Row],[CODIGO ]],Tabla4[],2,0)</f>
        <v>Lentes de seguridad ix-09 (oscuros)</v>
      </c>
      <c r="E36">
        <v>1</v>
      </c>
    </row>
    <row r="37" spans="2:5" x14ac:dyDescent="0.35">
      <c r="B37">
        <v>66</v>
      </c>
      <c r="C37" s="1">
        <v>46127</v>
      </c>
      <c r="D37" t="str">
        <f>+VLOOKUP(Tabla6[[#This Row],[CODIGO ]],Tabla4[],2,0)</f>
        <v xml:space="preserve">Guantes hyflex N-876 L </v>
      </c>
      <c r="E37">
        <v>4</v>
      </c>
    </row>
    <row r="38" spans="2:5" x14ac:dyDescent="0.35">
      <c r="B38">
        <v>107</v>
      </c>
      <c r="C38" s="1">
        <v>46127</v>
      </c>
      <c r="D38" t="str">
        <f>+VLOOKUP(Tabla6[[#This Row],[CODIGO ]],Tabla4[],2,0)</f>
        <v>Respirador TPR L 07/2029</v>
      </c>
      <c r="E38">
        <v>2</v>
      </c>
    </row>
    <row r="39" spans="2:5" x14ac:dyDescent="0.35">
      <c r="B39">
        <v>109</v>
      </c>
      <c r="C39" s="1">
        <v>46127</v>
      </c>
      <c r="D39" t="str">
        <f>+VLOOKUP(Tabla6[[#This Row],[CODIGO ]],Tabla4[],2,0)</f>
        <v>Respirador TPR L 06/2030</v>
      </c>
      <c r="E39">
        <v>1</v>
      </c>
    </row>
    <row r="40" spans="2:5" x14ac:dyDescent="0.35">
      <c r="B40">
        <v>53</v>
      </c>
      <c r="C40" s="1">
        <v>46127</v>
      </c>
      <c r="D40" t="str">
        <f>+VLOOKUP(Tabla6[[#This Row],[CODIGO ]],Tabla4[],2,0)</f>
        <v>Filtros 7093C 03/2027</v>
      </c>
      <c r="E40">
        <v>5</v>
      </c>
    </row>
    <row r="41" spans="2:5" x14ac:dyDescent="0.35">
      <c r="B41">
        <v>65</v>
      </c>
      <c r="C41" s="1">
        <v>46129</v>
      </c>
      <c r="D41" t="str">
        <f>+VLOOKUP(Tabla6[[#This Row],[CODIGO ]],Tabla4[],2,0)</f>
        <v>Guante hyflex EN388 M</v>
      </c>
      <c r="E41">
        <v>1</v>
      </c>
    </row>
    <row r="42" spans="2:5" x14ac:dyDescent="0.35">
      <c r="B42">
        <v>66</v>
      </c>
      <c r="C42" s="1">
        <v>46129</v>
      </c>
      <c r="D42" t="str">
        <f>+VLOOKUP(Tabla6[[#This Row],[CODIGO ]],Tabla4[],2,0)</f>
        <v xml:space="preserve">Guantes hyflex N-876 L </v>
      </c>
      <c r="E42">
        <v>1</v>
      </c>
    </row>
    <row r="43" spans="2:5" x14ac:dyDescent="0.35">
      <c r="B43">
        <v>23</v>
      </c>
      <c r="C43" s="1">
        <v>46129</v>
      </c>
      <c r="D43" t="str">
        <f>+VLOOKUP(Tabla6[[#This Row],[CODIGO ]],Tabla4[],2,0)</f>
        <v xml:space="preserve">Buzo de papel XL </v>
      </c>
      <c r="E43">
        <v>4</v>
      </c>
    </row>
    <row r="44" spans="2:5" x14ac:dyDescent="0.35">
      <c r="B44">
        <v>25</v>
      </c>
      <c r="C44" s="1">
        <v>46129</v>
      </c>
      <c r="D44" t="str">
        <f>+VLOOKUP(Tabla6[[#This Row],[CODIGO ]],Tabla4[],2,0)</f>
        <v>Buzo de papel XXXL</v>
      </c>
      <c r="E44">
        <v>7</v>
      </c>
    </row>
    <row r="45" spans="2:5" x14ac:dyDescent="0.35">
      <c r="B45">
        <v>22</v>
      </c>
      <c r="C45" s="1">
        <v>46129</v>
      </c>
      <c r="D45" t="str">
        <f>+VLOOKUP(Tabla6[[#This Row],[CODIGO ]],Tabla4[],2,0)</f>
        <v xml:space="preserve">Buzo de papel L </v>
      </c>
      <c r="E45">
        <v>1</v>
      </c>
    </row>
    <row r="46" spans="2:5" x14ac:dyDescent="0.35">
      <c r="B46">
        <v>23</v>
      </c>
      <c r="C46" s="1">
        <v>46130</v>
      </c>
      <c r="D46" t="str">
        <f>+VLOOKUP(Tabla6[[#This Row],[CODIGO ]],Tabla4[],2,0)</f>
        <v xml:space="preserve">Buzo de papel XL </v>
      </c>
      <c r="E46">
        <v>4</v>
      </c>
    </row>
    <row r="47" spans="2:5" x14ac:dyDescent="0.35">
      <c r="B47">
        <v>25</v>
      </c>
      <c r="C47" s="1">
        <v>46130</v>
      </c>
      <c r="D47" t="str">
        <f>+VLOOKUP(Tabla6[[#This Row],[CODIGO ]],Tabla4[],2,0)</f>
        <v>Buzo de papel XXXL</v>
      </c>
      <c r="E47">
        <v>2</v>
      </c>
    </row>
    <row r="48" spans="2:5" x14ac:dyDescent="0.35">
      <c r="B48">
        <v>22</v>
      </c>
      <c r="C48" s="1">
        <v>46130</v>
      </c>
      <c r="D48" t="str">
        <f>+VLOOKUP(Tabla6[[#This Row],[CODIGO ]],Tabla4[],2,0)</f>
        <v xml:space="preserve">Buzo de papel L </v>
      </c>
      <c r="E48">
        <v>1</v>
      </c>
    </row>
    <row r="49" spans="2:5" x14ac:dyDescent="0.35">
      <c r="B49">
        <v>67</v>
      </c>
      <c r="C49" s="1">
        <v>46130</v>
      </c>
      <c r="D49" t="str">
        <f>+VLOOKUP(Tabla6[[#This Row],[CODIGO ]],Tabla4[],2,0)</f>
        <v>Guantes hyflex N-876 M</v>
      </c>
      <c r="E49">
        <v>1</v>
      </c>
    </row>
    <row r="50" spans="2:5" x14ac:dyDescent="0.35">
      <c r="B50">
        <v>25</v>
      </c>
      <c r="C50" s="1">
        <v>46132</v>
      </c>
      <c r="D50" t="str">
        <f>+VLOOKUP(Tabla6[[#This Row],[CODIGO ]],Tabla4[],2,0)</f>
        <v>Buzo de papel XXXL</v>
      </c>
      <c r="E50">
        <v>8</v>
      </c>
    </row>
    <row r="51" spans="2:5" x14ac:dyDescent="0.35">
      <c r="B51">
        <v>22</v>
      </c>
      <c r="C51" s="1">
        <v>46132</v>
      </c>
      <c r="D51" t="str">
        <f>+VLOOKUP(Tabla6[[#This Row],[CODIGO ]],Tabla4[],2,0)</f>
        <v xml:space="preserve">Buzo de papel L </v>
      </c>
      <c r="E51">
        <v>1</v>
      </c>
    </row>
    <row r="52" spans="2:5" x14ac:dyDescent="0.35">
      <c r="B52">
        <v>25</v>
      </c>
      <c r="C52" s="1">
        <v>46132</v>
      </c>
      <c r="D52" t="str">
        <f>+VLOOKUP(Tabla6[[#This Row],[CODIGO ]],Tabla4[],2,0)</f>
        <v>Buzo de papel XXXL</v>
      </c>
      <c r="E52">
        <v>5</v>
      </c>
    </row>
    <row r="53" spans="2:5" x14ac:dyDescent="0.35">
      <c r="B53">
        <v>24</v>
      </c>
      <c r="C53" s="1">
        <v>46132</v>
      </c>
      <c r="D53" t="str">
        <f>+VLOOKUP(Tabla6[[#This Row],[CODIGO ]],Tabla4[],2,0)</f>
        <v xml:space="preserve">Buzo de papel XXL </v>
      </c>
      <c r="E53">
        <v>2</v>
      </c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INVENTARIO </vt:lpstr>
      <vt:lpstr>ENTRADAS</vt:lpstr>
      <vt:lpstr>SALIDAS</vt:lpstr>
      <vt:lpstr>'INVENTARIO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Pastén Verasay</dc:creator>
  <cp:lastModifiedBy>Ana Karen  Poblete Guerrero</cp:lastModifiedBy>
  <cp:lastPrinted>2026-03-20T13:39:46Z</cp:lastPrinted>
  <dcterms:created xsi:type="dcterms:W3CDTF">2026-03-10T12:49:08Z</dcterms:created>
  <dcterms:modified xsi:type="dcterms:W3CDTF">2026-04-20T21:43:43Z</dcterms:modified>
</cp:coreProperties>
</file>